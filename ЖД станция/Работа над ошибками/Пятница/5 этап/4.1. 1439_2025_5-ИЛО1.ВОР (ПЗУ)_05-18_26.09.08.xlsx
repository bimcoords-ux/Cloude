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A8A5EF74-94B3-4F8A-8539-427FFACD28D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ВОР для импорта" sheetId="4" r:id="rId1"/>
  </sheets>
  <definedNames>
    <definedName name="_xlnm.Print_Area" localSheetId="0">'ВОР для импорта'!$A$1:$I$16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8" i="4" l="1"/>
  <c r="J227" i="4"/>
  <c r="J226" i="4"/>
  <c r="J225" i="4"/>
  <c r="J224" i="4"/>
  <c r="J222" i="4"/>
  <c r="J221" i="4"/>
  <c r="J220" i="4"/>
  <c r="J219" i="4"/>
  <c r="J218" i="4"/>
  <c r="J217" i="4"/>
  <c r="J216" i="4"/>
  <c r="J215" i="4"/>
  <c r="J214" i="4"/>
  <c r="J213" i="4"/>
  <c r="J212" i="4"/>
  <c r="J211" i="4"/>
  <c r="J210" i="4"/>
  <c r="J209" i="4"/>
  <c r="J207" i="4"/>
  <c r="J206" i="4"/>
  <c r="J205" i="4"/>
  <c r="J204" i="4"/>
  <c r="J203" i="4"/>
  <c r="J202" i="4"/>
  <c r="J201" i="4"/>
  <c r="J200" i="4"/>
  <c r="J199" i="4"/>
  <c r="J198" i="4"/>
  <c r="J197" i="4"/>
  <c r="J196" i="4"/>
  <c r="J194" i="4"/>
  <c r="J193" i="4"/>
  <c r="J192" i="4"/>
  <c r="J191" i="4"/>
  <c r="J190" i="4"/>
  <c r="J189" i="4"/>
  <c r="J188" i="4"/>
  <c r="J184" i="4"/>
  <c r="J183" i="4"/>
  <c r="J182" i="4"/>
  <c r="J181" i="4"/>
  <c r="J180" i="4"/>
  <c r="J179" i="4"/>
  <c r="J178" i="4"/>
  <c r="J177" i="4"/>
  <c r="J176" i="4"/>
  <c r="J175" i="4"/>
  <c r="J173" i="4"/>
  <c r="J172" i="4"/>
  <c r="J171" i="4"/>
  <c r="J170" i="4"/>
  <c r="J169" i="4"/>
  <c r="J168" i="4"/>
  <c r="J167" i="4"/>
  <c r="J166" i="4"/>
  <c r="J165" i="4"/>
  <c r="J164" i="4"/>
  <c r="J163" i="4"/>
  <c r="J162" i="4"/>
  <c r="J161" i="4"/>
  <c r="J160" i="4"/>
  <c r="J158" i="4"/>
  <c r="J157" i="4"/>
  <c r="J156" i="4"/>
  <c r="J155" i="4"/>
  <c r="J154" i="4"/>
  <c r="J153" i="4"/>
  <c r="J152" i="4"/>
  <c r="J151" i="4"/>
  <c r="J150" i="4"/>
  <c r="J148" i="4"/>
  <c r="J147" i="4"/>
  <c r="J146" i="4"/>
  <c r="J145" i="4"/>
  <c r="J144" i="4"/>
  <c r="J143" i="4"/>
  <c r="J142" i="4"/>
  <c r="J141" i="4"/>
  <c r="J140" i="4"/>
  <c r="J139" i="4"/>
  <c r="J137" i="4"/>
  <c r="J136" i="4"/>
  <c r="J135" i="4"/>
  <c r="J134" i="4"/>
  <c r="J133" i="4"/>
  <c r="J132" i="4"/>
  <c r="J131" i="4"/>
  <c r="J130" i="4"/>
  <c r="J129" i="4"/>
  <c r="J128" i="4"/>
  <c r="J127" i="4"/>
  <c r="J126" i="4"/>
  <c r="J124" i="4"/>
  <c r="J123" i="4"/>
  <c r="J122" i="4"/>
  <c r="J121" i="4"/>
  <c r="J120" i="4"/>
  <c r="J119" i="4"/>
  <c r="J118" i="4"/>
  <c r="J102" i="4"/>
  <c r="J105" i="4"/>
  <c r="J71" i="4"/>
  <c r="J49" i="4"/>
  <c r="J48" i="4"/>
  <c r="J47" i="4"/>
  <c r="J46" i="4"/>
  <c r="J45" i="4"/>
  <c r="J44" i="4"/>
  <c r="J43" i="4"/>
  <c r="J42" i="4"/>
  <c r="J41" i="4"/>
  <c r="J40" i="4"/>
  <c r="J38" i="4"/>
  <c r="J37" i="4"/>
  <c r="J36" i="4"/>
  <c r="J35" i="4"/>
  <c r="J34" i="4"/>
  <c r="J33" i="4"/>
  <c r="J32" i="4"/>
  <c r="J31" i="4"/>
  <c r="J30" i="4"/>
  <c r="J29" i="4"/>
  <c r="J28" i="4"/>
  <c r="J27" i="4"/>
  <c r="J21" i="4"/>
  <c r="J22" i="4"/>
  <c r="J23" i="4"/>
  <c r="J24" i="4"/>
  <c r="J25" i="4"/>
  <c r="J55" i="4"/>
  <c r="J115" i="4"/>
  <c r="J114" i="4"/>
  <c r="J113" i="4"/>
  <c r="J112" i="4"/>
  <c r="J111" i="4"/>
  <c r="J109" i="4"/>
  <c r="J108" i="4"/>
  <c r="J107" i="4"/>
  <c r="J106" i="4"/>
  <c r="J104" i="4"/>
  <c r="J103" i="4"/>
  <c r="J101" i="4"/>
  <c r="J99" i="4"/>
  <c r="J98" i="4"/>
  <c r="J97" i="4"/>
  <c r="J96" i="4"/>
  <c r="J95" i="4"/>
  <c r="J94" i="4"/>
  <c r="J93" i="4"/>
  <c r="J92" i="4"/>
  <c r="J91" i="4"/>
  <c r="J90" i="4"/>
  <c r="J88" i="4"/>
  <c r="J87" i="4"/>
  <c r="J86" i="4"/>
  <c r="J85" i="4"/>
  <c r="J84" i="4"/>
  <c r="J83" i="4"/>
  <c r="J82" i="4"/>
  <c r="J81" i="4"/>
  <c r="J80" i="4"/>
  <c r="J79" i="4"/>
  <c r="J78" i="4"/>
  <c r="J77" i="4"/>
  <c r="J75" i="4"/>
  <c r="J74" i="4"/>
  <c r="J73" i="4"/>
  <c r="J72" i="4"/>
  <c r="J70" i="4"/>
  <c r="J69" i="4"/>
  <c r="J65" i="4"/>
  <c r="J64" i="4"/>
  <c r="J63" i="4"/>
  <c r="J62" i="4"/>
  <c r="J61" i="4"/>
  <c r="J54" i="4"/>
  <c r="J53" i="4"/>
  <c r="J59" i="4"/>
  <c r="J58" i="4"/>
  <c r="J57" i="4"/>
  <c r="J56" i="4"/>
  <c r="J52" i="4"/>
  <c r="J5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B49" authorId="0" shapeId="0" xr:uid="{7820DA19-42C8-4D91-B4A5-B074A7C32464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заменить БНД на битумное вяжущее PG</t>
        </r>
      </text>
    </comment>
    <comment ref="B59" authorId="0" shapeId="0" xr:uid="{AFE03B22-EC7A-4FC2-83FF-6146998E8EB8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заменить БНД на битумное вяжущее PG</t>
        </r>
      </text>
    </comment>
    <comment ref="B99" authorId="0" shapeId="0" xr:uid="{9449517D-7CDA-4821-AD1D-364E8598595E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заменить БНД на битумное вяжущее PG</t>
        </r>
      </text>
    </comment>
    <comment ref="B109" authorId="0" shapeId="0" xr:uid="{2B250DCD-0A5C-4895-8D64-2481F96F1603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заменить БНД на битумное вяжущее PG</t>
        </r>
      </text>
    </comment>
    <comment ref="B148" authorId="0" shapeId="0" xr:uid="{D19EB372-1351-4077-B145-E6765A12AB92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заменить БНД на битумное вяжущее PG</t>
        </r>
      </text>
    </comment>
    <comment ref="B158" authorId="0" shapeId="0" xr:uid="{E8A3C7FA-2552-472D-B98D-9DCD4DB8149A}">
      <text>
        <r>
          <rPr>
            <b/>
            <sz val="9"/>
            <color indexed="81"/>
            <rFont val="Tahoma"/>
            <charset val="1"/>
          </rPr>
          <t>Автор:</t>
        </r>
        <r>
          <rPr>
            <sz val="9"/>
            <color indexed="81"/>
            <rFont val="Tahoma"/>
            <charset val="1"/>
          </rPr>
          <t xml:space="preserve">
заменить БНД на битумное вяжущее PG</t>
        </r>
      </text>
    </comment>
  </commentList>
</comments>
</file>

<file path=xl/sharedStrings.xml><?xml version="1.0" encoding="utf-8"?>
<sst xmlns="http://schemas.openxmlformats.org/spreadsheetml/2006/main" count="1196" uniqueCount="250">
  <si>
    <t>№ п.п.</t>
  </si>
  <si>
    <t>Наименование работ, ресурсов, затрат по проекту</t>
  </si>
  <si>
    <t>Ед. изм.</t>
  </si>
  <si>
    <t>Объем работ / Количество</t>
  </si>
  <si>
    <t>Формула расчета объемов работ и расхода материалов, потребности ресурсов</t>
  </si>
  <si>
    <t>Ссылка на чертежи, спецификации в проектной документации</t>
  </si>
  <si>
    <t>Дополнительная информация (комментарий).</t>
  </si>
  <si>
    <t>6.1</t>
  </si>
  <si>
    <t>6.2</t>
  </si>
  <si>
    <t>Наименование объекта капитального строительства</t>
  </si>
  <si>
    <t>Документ</t>
  </si>
  <si>
    <t>Версия</t>
  </si>
  <si>
    <t>Наименование стройки</t>
  </si>
  <si>
    <t>Ведомость объемов работ №</t>
  </si>
  <si>
    <t>Дата составления</t>
  </si>
  <si>
    <t>Основание((наименование раздела (подраздела) ПД))</t>
  </si>
  <si>
    <t>Составил ФИО</t>
  </si>
  <si>
    <t>Составил должность</t>
  </si>
  <si>
    <t>Проверил ФИО</t>
  </si>
  <si>
    <t>Проверил должность</t>
  </si>
  <si>
    <t>Инженер</t>
  </si>
  <si>
    <t>Наименование файла</t>
  </si>
  <si>
    <t>Номер страниц (через пробел)</t>
  </si>
  <si>
    <t>ГИП</t>
  </si>
  <si>
    <t>1_00</t>
  </si>
  <si>
    <t>Идентификатор</t>
  </si>
  <si>
    <t>Тип позиции</t>
  </si>
  <si>
    <t>работа</t>
  </si>
  <si>
    <r>
      <t xml:space="preserve">перед печатью скрыть столбцы 6.1 и 6.2. </t>
    </r>
    <r>
      <rPr>
        <b/>
        <sz val="11"/>
        <color theme="1"/>
        <rFont val="Calibri"/>
        <family val="2"/>
        <charset val="204"/>
        <scheme val="minor"/>
      </rPr>
      <t>Только при сборке тома в pdf</t>
    </r>
  </si>
  <si>
    <t>оставлять вне области печати</t>
  </si>
  <si>
    <t>Строительство железнодорожной инфраструктуры</t>
  </si>
  <si>
    <t>Сундеев</t>
  </si>
  <si>
    <t>Ведомость объемов работ на Схема планировочной организации земельного участка</t>
  </si>
  <si>
    <t>Раздел 1. Земляное полотно</t>
  </si>
  <si>
    <t xml:space="preserve">Разработка грунта 2 группы (плотность 1.94 г/см3)  экскаватором ёмкостью ковша 1,00 м3  </t>
  </si>
  <si>
    <t>Перевозка  грунта 2 группы ( плотность 1.94 г/см3) автосамосвалами  до 1,0 км (из выемки в насыпь)</t>
  </si>
  <si>
    <t>т</t>
  </si>
  <si>
    <t xml:space="preserve">плотность 1.94г/см3 </t>
  </si>
  <si>
    <t>перевозка грузов</t>
  </si>
  <si>
    <t>Устройство дорожных насыпей из грунта (группа грунтов: 2)</t>
  </si>
  <si>
    <t>Уплотнение (послойное) насыпи прицепными катками на пневмоколесном ходу 25 т за 7 проходов при толщине слоя 30 см</t>
  </si>
  <si>
    <t>Полив водой уплотняемого грунта насыпей (30% от объема уплотнения)</t>
  </si>
  <si>
    <t>Уплотнение (послойное) насыпи*0.3</t>
  </si>
  <si>
    <t>Раздел 2. Укрепительные работы</t>
  </si>
  <si>
    <t xml:space="preserve">Погрузка  растительного грунта экскаватором емкостью ковша 1,20м3 и транспортировка автосамосвалами (на устройство обочин, откосов) 1 км (из резерва) плотность 1.2г/см3 </t>
  </si>
  <si>
    <t>Перевозка растительного грунта автосамосвалами до 1 км</t>
  </si>
  <si>
    <t xml:space="preserve">плотность 1.2г/см3 </t>
  </si>
  <si>
    <t>Укрепление газонов  внесением растительной земли механизированным способом на толщину слоя h=0,15м</t>
  </si>
  <si>
    <t>Семена трав, костер</t>
  </si>
  <si>
    <t>кг</t>
  </si>
  <si>
    <t>0,027 кг смеси многолетних трав (костер 35%, житняк 50%, люцерна 15%) на 1 м2</t>
  </si>
  <si>
    <t>материал</t>
  </si>
  <si>
    <t>Семена трав, житняк</t>
  </si>
  <si>
    <t>Семена трав, люцерна</t>
  </si>
  <si>
    <t>Полив посевов трав водой</t>
  </si>
  <si>
    <t>Укрепление откосов внесением растительной земли механизированным способом на толщину слоя h=0,15м</t>
  </si>
  <si>
    <t>Основание под бортовой камень БР 100.20.8</t>
  </si>
  <si>
    <t>Sщебеночной призмы 0,058м2</t>
  </si>
  <si>
    <t xml:space="preserve">Щебень М-600 по ГОСТ 32703-2014 фр. 16-31.5мм (насыпная плотность щебня 1,38 т/м3)      </t>
  </si>
  <si>
    <t>с учетом коэффициента расхода 1.15</t>
  </si>
  <si>
    <t>Устройство бортового камня БР 100.20.8 по ГОСТ 32961-2014 из бетона В30,W6, F200 ( 1 шт -  объем бетона 0,016 м3 ГОСТ 6665-91 Таблица 8) на бетонном основании В15,W4, F150 (К=1,2 не применяется, работы ведутся на тротуаре)</t>
  </si>
  <si>
    <t>м</t>
  </si>
  <si>
    <t xml:space="preserve">Бетон на щебне из гравия  В15,W4, F150 </t>
  </si>
  <si>
    <t>Sбетонной призмы 0,048м2</t>
  </si>
  <si>
    <t xml:space="preserve">Бортовой камень БР 100.20.8 по ГОСТ 32961-2014 из бетона В30,W6, F200 ( 1 шт -  объем бетона 0,016 м3 ГОСТ 6665-91 Таблица 8) </t>
  </si>
  <si>
    <t>м2</t>
  </si>
  <si>
    <t xml:space="preserve">м3 </t>
  </si>
  <si>
    <t>Устройство дополнительного слоя основания, h=0,15м</t>
  </si>
  <si>
    <t>Устройство разделяющей прослойки</t>
  </si>
  <si>
    <t>Устройство верхнего слоя покрытия, h=0,05м</t>
  </si>
  <si>
    <t>γ=1,03 т/м3</t>
  </si>
  <si>
    <t>п1</t>
  </si>
  <si>
    <t>п2</t>
  </si>
  <si>
    <t>с учетом коэффициента расхода 1,12</t>
  </si>
  <si>
    <t>с учетом коэффициента расхода 1,3</t>
  </si>
  <si>
    <t>Расход - 0,8 л/м2</t>
  </si>
  <si>
    <t>Раздел 5. Устройство бортового камня</t>
  </si>
  <si>
    <t>Бурайкин</t>
  </si>
  <si>
    <t>Раздел 3. Устройство  дорожной одежды по Типу 1 Тротуар</t>
  </si>
  <si>
    <t>Нетканный геотекстиль, предельная прочностьне менее 5кН/м, ГОСТ Р56419-2015</t>
  </si>
  <si>
    <t xml:space="preserve">Щебень М-600 по ГОСТ 32703-2014 фр. 16-31.5мм, h=0,16м (насыпная плотность щебня 1,38 т/м3)           </t>
  </si>
  <si>
    <t>Устройство  слоя основания, h=0,16м</t>
  </si>
  <si>
    <t>Розлив битумной эмульсии (расход 0,7 л/м2)</t>
  </si>
  <si>
    <t>Битумная эмульсия ЭБДК-Б</t>
  </si>
  <si>
    <t>0,19*1,03</t>
  </si>
  <si>
    <t>Раздел 4. Устройство покрытия по Типу 2 Отмостка зданий</t>
  </si>
  <si>
    <t>Устройство  слоя основания, h=0,10м</t>
  </si>
  <si>
    <r>
      <t>м</t>
    </r>
    <r>
      <rPr>
        <vertAlign val="superscript"/>
        <sz val="11"/>
        <rFont val="Calibri"/>
        <family val="2"/>
        <charset val="204"/>
        <scheme val="minor"/>
      </rPr>
      <t>2</t>
    </r>
  </si>
  <si>
    <r>
      <t>м</t>
    </r>
    <r>
      <rPr>
        <vertAlign val="superscript"/>
        <sz val="11"/>
        <rFont val="Calibri"/>
        <family val="2"/>
        <charset val="204"/>
        <scheme val="minor"/>
      </rPr>
      <t>3</t>
    </r>
    <r>
      <rPr>
        <sz val="11"/>
        <rFont val="Calibri"/>
        <family val="2"/>
        <charset val="204"/>
        <scheme val="minor"/>
      </rPr>
      <t xml:space="preserve"> </t>
    </r>
  </si>
  <si>
    <t>Расход - 0,7 л/м2</t>
  </si>
  <si>
    <t>0,01*1,03</t>
  </si>
  <si>
    <t>Раздел ПД №4 Часть №1 ИЛО1 (ПЗУ) (1439_2025_5)</t>
  </si>
  <si>
    <t>Инфраструктура индустриального парка «Этилен-600», Железнодорожная инфраструктура. Этап №5. Строительство железнодорожных путей необщего пользования (приемоотправочный парк ст. Круглое Поле)</t>
  </si>
  <si>
    <t>Площадка размещения зданий необщего пользования №1</t>
  </si>
  <si>
    <t>1238,00*0,3</t>
  </si>
  <si>
    <t>257,66*0,027*0,35</t>
  </si>
  <si>
    <t>257,66*0,027*0,5</t>
  </si>
  <si>
    <t>257,66*0,027*0,15</t>
  </si>
  <si>
    <t>282,19*0,05*2,512</t>
  </si>
  <si>
    <t>0,12*1,03</t>
  </si>
  <si>
    <t>231,55*0,058</t>
  </si>
  <si>
    <t>231,55*0,048*1,02</t>
  </si>
  <si>
    <t>Площадка размещения зданий необщего пользования №2</t>
  </si>
  <si>
    <t>514,00*1,94</t>
  </si>
  <si>
    <t>748,00*0,3</t>
  </si>
  <si>
    <t>214,00*1,2</t>
  </si>
  <si>
    <t>76,73*0,027*0,35</t>
  </si>
  <si>
    <t>76,73*0,027*0,5</t>
  </si>
  <si>
    <t>76,73*0,027*0,15</t>
  </si>
  <si>
    <t>212,56*0,027*0,35</t>
  </si>
  <si>
    <t>212,56*0,027*0,5</t>
  </si>
  <si>
    <t>212,56*0,027*0,15</t>
  </si>
  <si>
    <t>11,66*0,15</t>
  </si>
  <si>
    <t>11,66*1,12</t>
  </si>
  <si>
    <t>11,66*0,16*1,3</t>
  </si>
  <si>
    <t xml:space="preserve">11,66*0,7/1000 </t>
  </si>
  <si>
    <t>11,66*0,05*2,512</t>
  </si>
  <si>
    <t>49,25*0,1*1,3</t>
  </si>
  <si>
    <t>49,25*0,7/1000</t>
  </si>
  <si>
    <t>0,03*1,03</t>
  </si>
  <si>
    <t>49,25*0,05*2,512</t>
  </si>
  <si>
    <t>52,55*0,048*1,02</t>
  </si>
  <si>
    <t>Раздел ПД №4 Часть №1 ИЛО1 (ПЗУ) (1439_2025_5).pdf</t>
  </si>
  <si>
    <t>Утеплитель ЭППС h=0,05</t>
  </si>
  <si>
    <r>
      <t>Гидроизоляционный материал</t>
    </r>
    <r>
      <rPr>
        <sz val="11"/>
        <color theme="1"/>
        <rFont val="Calibri"/>
        <family val="2"/>
        <scheme val="minor"/>
      </rPr>
      <t>: Мембрана или рулонный материал</t>
    </r>
    <r>
      <rPr>
        <sz val="11"/>
        <color theme="1"/>
        <rFont val="Times New Roman"/>
        <family val="1"/>
        <charset val="204"/>
      </rPr>
      <t xml:space="preserve"> 1-5мм</t>
    </r>
  </si>
  <si>
    <t>шт</t>
  </si>
  <si>
    <t>52,55*0,058*1,3</t>
  </si>
  <si>
    <t xml:space="preserve">м2 </t>
  </si>
  <si>
    <t>52,55*0,28</t>
  </si>
  <si>
    <t>231,55*0,058*1,3</t>
  </si>
  <si>
    <t>Площадка водоподготовки</t>
  </si>
  <si>
    <t>2100,00*0,3</t>
  </si>
  <si>
    <t>109,00*1,2</t>
  </si>
  <si>
    <t>4023,50*0,027*0,35</t>
  </si>
  <si>
    <t>4023,50*0,027*0,5</t>
  </si>
  <si>
    <t>4023,50*0,027*0,15</t>
  </si>
  <si>
    <t>514,70*0,027*0,35</t>
  </si>
  <si>
    <t>514,70*0,027*0,5</t>
  </si>
  <si>
    <t>514,70*0,027*0,15</t>
  </si>
  <si>
    <t>19,60*0,15</t>
  </si>
  <si>
    <t>19,60*1,12</t>
  </si>
  <si>
    <t>19,60*0,16*1,3</t>
  </si>
  <si>
    <t xml:space="preserve">19,60*0,7/1000 </t>
  </si>
  <si>
    <t>19,60*0,05*2,512</t>
  </si>
  <si>
    <t>56,10*0,1*1,3</t>
  </si>
  <si>
    <t>56,10*0,7/1000</t>
  </si>
  <si>
    <t>0,04*1,03</t>
  </si>
  <si>
    <t>56,10*0,05*2,512</t>
  </si>
  <si>
    <t>Раздел 5. Устройство покрытия по Типу 3 Проезд</t>
  </si>
  <si>
    <t xml:space="preserve">Устройство дополнительного слоя основания </t>
  </si>
  <si>
    <t>м3</t>
  </si>
  <si>
    <t>Песок мелкий по ГОСТ 32824-2014 с коэф. фильтрации Кф&gt;2 м/сут. h=0,29</t>
  </si>
  <si>
    <t>Нетканый геотекстиль предельная прочность не менее 5кН/м, ГОСТ Р 56419-2015</t>
  </si>
  <si>
    <t>Устройство слоя основания, h=0,22м</t>
  </si>
  <si>
    <t>Щебень фракционированный фракции
св. 31,5-63 мм  М600 с расклинцовкой верхнего слоя щебнем фр. 4-8мм. и фр. 8-16мм М600 по ГОСТ32703-2014 уложенный в один слой</t>
  </si>
  <si>
    <t xml:space="preserve">Розлив битумной эмульсии катионной ЭБДК-Б  </t>
  </si>
  <si>
    <t>574,20*0,7/1000</t>
  </si>
  <si>
    <t xml:space="preserve">Битумная эмульсия катионная ЭБДК-Б </t>
  </si>
  <si>
    <t>0,40*1,03</t>
  </si>
  <si>
    <t>Устройство нижнего слой покрытия, h=0,08м</t>
  </si>
  <si>
    <t>(574,20*0,08+1,78(Vотк))*2,545</t>
  </si>
  <si>
    <t>γ=2,545 т/м3</t>
  </si>
  <si>
    <t>Розлив битумной эмульсии</t>
  </si>
  <si>
    <t>574,20*0,3/1000</t>
  </si>
  <si>
    <t>Расход - 0,3 л/м2</t>
  </si>
  <si>
    <t>0,17*1,03</t>
  </si>
  <si>
    <t>γ=2,585 т/м3</t>
  </si>
  <si>
    <t>Раздел 6. Устройство бортового камня</t>
  </si>
  <si>
    <t>60,90*0,048*1,02</t>
  </si>
  <si>
    <t>Основание под бортовой камень БР 100.30.15</t>
  </si>
  <si>
    <t>Sщебеночной призмы 0,067м2</t>
  </si>
  <si>
    <t>Устройство бортового камня БР 100.30.15 по ГОСТ 32961-2014 из бетона В30,W6, F200 ( 1 шт -  объем бетона 0,016 м3 ГОСТ 6665-91 Таблица 8) на бетонном основании В15,W4, F150 (К=1,2 не применяется, работы ведутся на тротуаре)</t>
  </si>
  <si>
    <t>Sбетонной призмы 0,055м2</t>
  </si>
  <si>
    <t>178,10*0,055*1,02</t>
  </si>
  <si>
    <t>574,20*0,29 +76,02(Vотк)</t>
  </si>
  <si>
    <t>574,20*0,05</t>
  </si>
  <si>
    <t>60,9*0,28</t>
  </si>
  <si>
    <t>60,90*0,058*1,3</t>
  </si>
  <si>
    <t>178,10*0,35</t>
  </si>
  <si>
    <t xml:space="preserve">Бортовой камень БР 100.30.15 по ГОСТ 32961-2014 из бетона В30,W6, F200 ( 1 шт -  объем бетона 0,042 м3 ГОСТ 6665-91 Таблица 8) </t>
  </si>
  <si>
    <t>Sбетонной призмы 0,042м2</t>
  </si>
  <si>
    <t>Площадка ЛОС</t>
  </si>
  <si>
    <t>767,00*1,94</t>
  </si>
  <si>
    <t>1175*0,3</t>
  </si>
  <si>
    <t>943,04*0,027*0,35</t>
  </si>
  <si>
    <t>943,04*0,027*0,5</t>
  </si>
  <si>
    <t>943,04*0,027*0,15</t>
  </si>
  <si>
    <t>88,40*0,027*0,35</t>
  </si>
  <si>
    <t>88,40*0,027*0,5</t>
  </si>
  <si>
    <t>88,40*0,027*0,15</t>
  </si>
  <si>
    <t>Раздел 3. Устройство покрытия по Типу 3 Проезд</t>
  </si>
  <si>
    <t>393,35*0,29 + 66,83(Vотк)</t>
  </si>
  <si>
    <t xml:space="preserve">м3
</t>
  </si>
  <si>
    <t>393,35*0,7/1000</t>
  </si>
  <si>
    <t>0,27*1,03</t>
  </si>
  <si>
    <t>393,35*0,08</t>
  </si>
  <si>
    <t>393,35*0,3/1000</t>
  </si>
  <si>
    <t>0,11*1,03</t>
  </si>
  <si>
    <t>393,35*0,05*2,585</t>
  </si>
  <si>
    <t>174,8*0,35</t>
  </si>
  <si>
    <t>174,78*0,055*1,02</t>
  </si>
  <si>
    <t>722,00*1,94</t>
  </si>
  <si>
    <t>Погрузка грунта 2 группы с площадки складирования для перевозки в насыпь</t>
  </si>
  <si>
    <t>Перевозка  грунта 2 группы ( плотность 1.94 г/см3) автосамосвалами  до 9,5 км (в насыпь)</t>
  </si>
  <si>
    <t>погрузка грузов</t>
  </si>
  <si>
    <t xml:space="preserve">Щебень М-600 по ГОСТ 32703-2014 фр. 16-31.5мм, h=0,10м (насыпная плотность щебня 1,38 т/м3)           </t>
  </si>
  <si>
    <t>234,00*1,94</t>
  </si>
  <si>
    <t>1378,00*1,94</t>
  </si>
  <si>
    <t>408,00*1,94</t>
  </si>
  <si>
    <t>1439/2025/5-ИЛО1-ГЧ.05 Схема организации рельефа и план земляных масс</t>
  </si>
  <si>
    <t>ВОР-05-18</t>
  </si>
  <si>
    <t>Дополнительный слой основания: песок мелкий по ГОСТ 32824-2014 Кф&gt;1 м/сут</t>
  </si>
  <si>
    <t>с учетом коэффициента расхода 1,23 
коэффициент потери при перевозке и хранении 1,027</t>
  </si>
  <si>
    <t>1,75*1,23*1,027</t>
  </si>
  <si>
    <t>с учетом коэффициента расхода 1,23
коэффициент потери при перевозке и хранении 1,027</t>
  </si>
  <si>
    <t>Асфальтобетон А5Вл по ГОСТ 58406.2-2020 на битуме вяжущее PG 64-22 по ГОСТ Р 58400.1-2019, h=0,05м (γ=2,512т/м3)</t>
  </si>
  <si>
    <t>Битумная эмульсия ЭБДК-Б ГОСТ Р 58952.1</t>
  </si>
  <si>
    <t>49,25*0,1*1,23*1,027</t>
  </si>
  <si>
    <t>56,10*0,1*1,23*1,027</t>
  </si>
  <si>
    <t>2,94*1,23*1,027</t>
  </si>
  <si>
    <t>коэффициент расхода 1.23
коэффициент потери при перевозке 1,012 (Приложение Г РДС 82-202-96)
коэффициент потери при перемещении 1,015 (п.1.1.9  ГЭСН 81-02-01-2022)</t>
  </si>
  <si>
    <t>242,54*1,23*1,012*1,015</t>
  </si>
  <si>
    <t>574,20*1,12</t>
  </si>
  <si>
    <t>Красхода 1,30
коэффициент потери при перевозке 1,0115 (Приложение Г РДС 82-202-96)
коэффициент потери при перемещении 1,015 (п.1.1.9  ГЭСН 81-02-01-2022)</t>
  </si>
  <si>
    <t>Асфальтобетон А16Вн по ГОСТ Р 58406.2-2020   на битуме вяжущее PG 64-22 по ГОСТ Р 58400.1-2019</t>
  </si>
  <si>
    <t>Асфальтобетон А32Нн, по ГОСТ Р 58406.2-2020  на битуме вяжущее PG 64-22 по ГОСТ Р 58400.1-2019</t>
  </si>
  <si>
    <t>178,10*0,067*1,3</t>
  </si>
  <si>
    <t>с учетом коэффициента расхода 1.3</t>
  </si>
  <si>
    <t>180,90*1,23*1,012*1,015</t>
  </si>
  <si>
    <t>393,35*1,12</t>
  </si>
  <si>
    <t xml:space="preserve">115,50
</t>
  </si>
  <si>
    <t>393,35*0,22*1,30*1,0115*1,015
115,50= 98,17+11,55+5,78
31,5-63мм =98,17м3
8-16мм=11,55м3
4-8мм=5,78м3</t>
  </si>
  <si>
    <t>574,20*0,22*1,30*1,0115*1,015 
168,60=143,31+16,86+8,43
31,5-63мм =143,31м3
8-16мм=16,86м3
4-8мм=8,43м3</t>
  </si>
  <si>
    <t>Sщебеночной призмы 0,067м2
 с учетом коэффициента расхода 1.30</t>
  </si>
  <si>
    <t>174,78*0,067*1,3</t>
  </si>
  <si>
    <t>225,00*1,94</t>
  </si>
  <si>
    <t>1013,00*1,94</t>
  </si>
  <si>
    <t>74,00*1,2</t>
  </si>
  <si>
    <t>235,65*0,027*0,35</t>
  </si>
  <si>
    <t>235,65*0,027*0,5</t>
  </si>
  <si>
    <t>235,65*0,027*0,15</t>
  </si>
  <si>
    <t xml:space="preserve">271,55*0,7/1000 </t>
  </si>
  <si>
    <t>271,55*0,16*1,3</t>
  </si>
  <si>
    <t>271,55*1,12</t>
  </si>
  <si>
    <t>271,55*0,15</t>
  </si>
  <si>
    <t>40,73*1,23*1,027</t>
  </si>
  <si>
    <t>176,88*0,05*2,512</t>
  </si>
  <si>
    <t>176,88*0,7/1000</t>
  </si>
  <si>
    <t>176,88*0,1*1,3</t>
  </si>
  <si>
    <t>176,88*0,1*1,23*1,027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</si>
</sst>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 tint="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Calibri"/>
      <family val="2"/>
      <scheme val="minor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vertAlign val="superscript"/>
      <sz val="1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4" fontId="7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/>
    </xf>
    <xf numFmtId="0" fontId="0" fillId="0" borderId="5" xfId="0" applyFill="1" applyBorder="1"/>
    <xf numFmtId="0" fontId="4" fillId="0" borderId="1" xfId="0" applyFont="1" applyFill="1" applyBorder="1" applyAlignment="1">
      <alignment horizontal="justify" vertical="center" wrapText="1"/>
    </xf>
    <xf numFmtId="4" fontId="5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5" fillId="0" borderId="1" xfId="0" applyFont="1" applyFill="1" applyBorder="1" applyAlignment="1">
      <alignment horizontal="center" vertical="center"/>
    </xf>
    <xf numFmtId="4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vertical="center" wrapText="1"/>
    </xf>
    <xf numFmtId="0" fontId="0" fillId="0" borderId="6" xfId="0" applyFill="1" applyBorder="1" applyAlignment="1">
      <alignment horizontal="center"/>
    </xf>
    <xf numFmtId="0" fontId="0" fillId="0" borderId="6" xfId="0" applyFill="1" applyBorder="1"/>
    <xf numFmtId="0" fontId="7" fillId="0" borderId="1" xfId="0" applyFont="1" applyFill="1" applyBorder="1" applyAlignment="1">
      <alignment horizontal="left" vertical="center" wrapText="1"/>
    </xf>
    <xf numFmtId="4" fontId="7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/>
    <xf numFmtId="0" fontId="5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 wrapText="1"/>
    </xf>
    <xf numFmtId="2" fontId="0" fillId="0" borderId="0" xfId="0" applyNumberFormat="1"/>
    <xf numFmtId="0" fontId="9" fillId="0" borderId="1" xfId="0" applyFont="1" applyBorder="1" applyAlignment="1">
      <alignment vertical="center" wrapText="1"/>
    </xf>
    <xf numFmtId="0" fontId="0" fillId="0" borderId="1" xfId="0" applyBorder="1"/>
    <xf numFmtId="4" fontId="7" fillId="0" borderId="1" xfId="1" applyNumberFormat="1" applyFont="1" applyFill="1" applyBorder="1" applyAlignment="1">
      <alignment horizontal="left" vertical="center" wrapText="1"/>
    </xf>
    <xf numFmtId="14" fontId="0" fillId="0" borderId="0" xfId="0" applyNumberFormat="1"/>
    <xf numFmtId="0" fontId="4" fillId="0" borderId="1" xfId="1" applyFont="1" applyFill="1" applyBorder="1" applyAlignment="1">
      <alignment horizontal="left" vertical="center" wrapText="1"/>
    </xf>
    <xf numFmtId="49" fontId="7" fillId="0" borderId="1" xfId="0" applyNumberFormat="1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49" fontId="0" fillId="0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  <xf numFmtId="0" fontId="7" fillId="0" borderId="1" xfId="0" quotePrefix="1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left" vertical="center" wrapText="1"/>
    </xf>
    <xf numFmtId="4" fontId="7" fillId="0" borderId="1" xfId="0" applyNumberFormat="1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49" fontId="0" fillId="2" borderId="3" xfId="0" applyNumberForma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horizontal="center" vertical="center" wrapText="1"/>
    </xf>
    <xf numFmtId="4" fontId="7" fillId="2" borderId="1" xfId="0" applyNumberFormat="1" applyFont="1" applyFill="1" applyBorder="1" applyAlignment="1">
      <alignment horizontal="center" vertical="center" wrapText="1"/>
    </xf>
    <xf numFmtId="4" fontId="7" fillId="2" borderId="1" xfId="1" applyNumberFormat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left" vertical="center" wrapText="1"/>
    </xf>
    <xf numFmtId="2" fontId="0" fillId="2" borderId="5" xfId="0" applyNumberFormat="1" applyFill="1" applyBorder="1" applyAlignment="1">
      <alignment horizontal="center"/>
    </xf>
    <xf numFmtId="0" fontId="0" fillId="2" borderId="5" xfId="0" applyFill="1" applyBorder="1"/>
    <xf numFmtId="0" fontId="4" fillId="2" borderId="1" xfId="0" applyFont="1" applyFill="1" applyBorder="1" applyAlignment="1">
      <alignment horizontal="justify" vertical="center" wrapText="1"/>
    </xf>
    <xf numFmtId="4" fontId="5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/>
    </xf>
    <xf numFmtId="4" fontId="4" fillId="2" borderId="1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vertical="center" wrapText="1"/>
    </xf>
    <xf numFmtId="0" fontId="0" fillId="2" borderId="6" xfId="0" applyFill="1" applyBorder="1" applyAlignment="1">
      <alignment horizontal="center"/>
    </xf>
    <xf numFmtId="0" fontId="0" fillId="2" borderId="6" xfId="0" applyFill="1" applyBorder="1"/>
    <xf numFmtId="0" fontId="7" fillId="2" borderId="1" xfId="0" applyFont="1" applyFill="1" applyBorder="1" applyAlignment="1">
      <alignment horizontal="left" vertical="center" wrapText="1"/>
    </xf>
    <xf numFmtId="4" fontId="7" fillId="2" borderId="1" xfId="0" applyNumberFormat="1" applyFont="1" applyFill="1" applyBorder="1" applyAlignment="1">
      <alignment horizontal="center" vertical="center"/>
    </xf>
    <xf numFmtId="0" fontId="7" fillId="2" borderId="1" xfId="0" quotePrefix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4" fontId="7" fillId="2" borderId="1" xfId="0" applyNumberFormat="1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/>
    </xf>
    <xf numFmtId="49" fontId="7" fillId="2" borderId="1" xfId="0" applyNumberFormat="1" applyFont="1" applyFill="1" applyBorder="1" applyAlignment="1">
      <alignment horizontal="left" vertical="center" wrapText="1"/>
    </xf>
    <xf numFmtId="0" fontId="4" fillId="2" borderId="1" xfId="0" applyFont="1" applyFill="1" applyBorder="1"/>
    <xf numFmtId="0" fontId="9" fillId="2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Fill="1"/>
    <xf numFmtId="0" fontId="7" fillId="3" borderId="1" xfId="0" applyFont="1" applyFill="1" applyBorder="1" applyAlignment="1">
      <alignment horizontal="left" vertical="center" wrapText="1"/>
    </xf>
    <xf numFmtId="4" fontId="7" fillId="3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center"/>
    </xf>
    <xf numFmtId="4" fontId="7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0" fontId="12" fillId="2" borderId="4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 wrapText="1"/>
    </xf>
    <xf numFmtId="0" fontId="9" fillId="2" borderId="3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left" vertical="center" wrapText="1"/>
    </xf>
    <xf numFmtId="0" fontId="9" fillId="0" borderId="4" xfId="0" applyFont="1" applyBorder="1" applyAlignment="1">
      <alignment horizontal="left" vertical="center" wrapText="1"/>
    </xf>
    <xf numFmtId="4" fontId="7" fillId="4" borderId="1" xfId="0" applyNumberFormat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left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4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</cellXfs>
  <cellStyles count="2">
    <cellStyle name="Обычный" xfId="0" builtinId="0"/>
    <cellStyle name="Обычный 15" xfId="1" xr:uid="{559603B6-150D-493C-9A97-711211B987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28"/>
  <sheetViews>
    <sheetView showZeros="0" tabSelected="1" topLeftCell="A7" zoomScale="85" zoomScaleNormal="85" zoomScaleSheetLayoutView="100" workbookViewId="0">
      <selection activeCell="D53" sqref="D53"/>
    </sheetView>
  </sheetViews>
  <sheetFormatPr defaultColWidth="9.140625" defaultRowHeight="15" x14ac:dyDescent="0.25"/>
  <cols>
    <col min="1" max="1" width="16" customWidth="1"/>
    <col min="2" max="2" width="41.85546875" customWidth="1"/>
    <col min="3" max="3" width="11.28515625" customWidth="1"/>
    <col min="4" max="4" width="19" customWidth="1"/>
    <col min="5" max="5" width="32.85546875" customWidth="1"/>
    <col min="6" max="6" width="41.85546875" customWidth="1"/>
    <col min="7" max="7" width="41.5703125" customWidth="1"/>
    <col min="8" max="8" width="28.85546875" customWidth="1"/>
    <col min="9" max="9" width="41.85546875" customWidth="1"/>
  </cols>
  <sheetData>
    <row r="1" spans="1:11" x14ac:dyDescent="0.25">
      <c r="A1" s="3" t="s">
        <v>10</v>
      </c>
      <c r="D1" t="s">
        <v>32</v>
      </c>
      <c r="G1" t="s">
        <v>28</v>
      </c>
      <c r="J1" t="s">
        <v>29</v>
      </c>
    </row>
    <row r="2" spans="1:11" x14ac:dyDescent="0.25">
      <c r="A2" s="3" t="s">
        <v>11</v>
      </c>
      <c r="D2" t="s">
        <v>24</v>
      </c>
    </row>
    <row r="3" spans="1:11" x14ac:dyDescent="0.25">
      <c r="A3" s="3"/>
    </row>
    <row r="4" spans="1:11" x14ac:dyDescent="0.25">
      <c r="A4" s="3" t="s">
        <v>12</v>
      </c>
      <c r="D4" t="s">
        <v>30</v>
      </c>
    </row>
    <row r="5" spans="1:11" x14ac:dyDescent="0.25">
      <c r="A5" s="3" t="s">
        <v>9</v>
      </c>
      <c r="D5" t="s">
        <v>92</v>
      </c>
    </row>
    <row r="6" spans="1:11" x14ac:dyDescent="0.25">
      <c r="A6" s="3" t="s">
        <v>13</v>
      </c>
      <c r="D6" s="95" t="s">
        <v>210</v>
      </c>
    </row>
    <row r="7" spans="1:11" x14ac:dyDescent="0.25">
      <c r="A7" s="3" t="s">
        <v>15</v>
      </c>
      <c r="D7" t="s">
        <v>91</v>
      </c>
    </row>
    <row r="8" spans="1:11" x14ac:dyDescent="0.25">
      <c r="A8" s="3" t="s">
        <v>14</v>
      </c>
      <c r="D8" s="36">
        <v>46168</v>
      </c>
    </row>
    <row r="9" spans="1:11" x14ac:dyDescent="0.25">
      <c r="A9" s="3"/>
    </row>
    <row r="10" spans="1:11" x14ac:dyDescent="0.25">
      <c r="A10" s="3" t="s">
        <v>16</v>
      </c>
      <c r="D10" t="s">
        <v>77</v>
      </c>
    </row>
    <row r="11" spans="1:11" x14ac:dyDescent="0.25">
      <c r="A11" s="3" t="s">
        <v>17</v>
      </c>
      <c r="D11" t="s">
        <v>20</v>
      </c>
    </row>
    <row r="12" spans="1:11" x14ac:dyDescent="0.25">
      <c r="A12" s="3" t="s">
        <v>18</v>
      </c>
      <c r="D12" t="s">
        <v>31</v>
      </c>
    </row>
    <row r="13" spans="1:11" x14ac:dyDescent="0.25">
      <c r="A13" s="3" t="s">
        <v>19</v>
      </c>
      <c r="D13" t="s">
        <v>23</v>
      </c>
    </row>
    <row r="15" spans="1:11" s="1" customFormat="1" ht="45" x14ac:dyDescent="0.25">
      <c r="A15" s="4" t="s">
        <v>0</v>
      </c>
      <c r="B15" s="4" t="s">
        <v>1</v>
      </c>
      <c r="C15" s="4" t="s">
        <v>2</v>
      </c>
      <c r="D15" s="4" t="s">
        <v>3</v>
      </c>
      <c r="E15" s="4" t="s">
        <v>4</v>
      </c>
      <c r="F15" s="4" t="s">
        <v>5</v>
      </c>
      <c r="G15" s="4" t="s">
        <v>21</v>
      </c>
      <c r="H15" s="4" t="s">
        <v>22</v>
      </c>
      <c r="I15" s="4" t="s">
        <v>6</v>
      </c>
      <c r="J15" s="4" t="s">
        <v>25</v>
      </c>
      <c r="K15" s="4" t="s">
        <v>26</v>
      </c>
    </row>
    <row r="16" spans="1:11" s="2" customFormat="1" x14ac:dyDescent="0.25">
      <c r="A16" s="5">
        <v>1</v>
      </c>
      <c r="B16" s="5">
        <v>2</v>
      </c>
      <c r="C16" s="5">
        <v>3</v>
      </c>
      <c r="D16" s="5">
        <v>4</v>
      </c>
      <c r="E16" s="5">
        <v>5</v>
      </c>
      <c r="F16" s="5">
        <v>6</v>
      </c>
      <c r="G16" s="6" t="s">
        <v>7</v>
      </c>
      <c r="H16" s="6" t="s">
        <v>8</v>
      </c>
      <c r="I16" s="5">
        <v>7</v>
      </c>
      <c r="J16" s="5">
        <v>8</v>
      </c>
      <c r="K16" s="5">
        <v>9</v>
      </c>
    </row>
    <row r="17" spans="1:14" s="2" customFormat="1" x14ac:dyDescent="0.25">
      <c r="A17" s="39"/>
      <c r="B17" s="40"/>
      <c r="C17" s="40"/>
      <c r="D17" s="40"/>
      <c r="E17" s="40"/>
      <c r="F17" s="43" t="s">
        <v>93</v>
      </c>
      <c r="G17" s="41"/>
      <c r="H17" s="41"/>
      <c r="I17" s="42"/>
      <c r="J17" s="5"/>
      <c r="K17" s="5"/>
    </row>
    <row r="18" spans="1:14" x14ac:dyDescent="0.25">
      <c r="A18" s="114" t="s">
        <v>33</v>
      </c>
      <c r="B18" s="115"/>
      <c r="C18" s="115"/>
      <c r="D18" s="115"/>
      <c r="E18" s="115"/>
      <c r="F18" s="115"/>
      <c r="G18" s="115"/>
      <c r="H18" s="115"/>
      <c r="I18" s="116"/>
      <c r="J18" s="5"/>
      <c r="K18" s="7"/>
    </row>
    <row r="19" spans="1:14" ht="45" x14ac:dyDescent="0.25">
      <c r="A19" s="8">
        <v>1</v>
      </c>
      <c r="B19" s="9" t="s">
        <v>34</v>
      </c>
      <c r="C19" s="10" t="s">
        <v>66</v>
      </c>
      <c r="D19" s="120">
        <v>225</v>
      </c>
      <c r="E19" s="35"/>
      <c r="F19" s="12" t="s">
        <v>209</v>
      </c>
      <c r="G19" s="12" t="s">
        <v>122</v>
      </c>
      <c r="H19" s="21">
        <v>29</v>
      </c>
      <c r="I19" s="10"/>
      <c r="J19" s="12" t="s">
        <v>71</v>
      </c>
      <c r="K19" s="12" t="s">
        <v>27</v>
      </c>
      <c r="M19" s="32"/>
      <c r="N19" s="32"/>
    </row>
    <row r="20" spans="1:14" ht="45" x14ac:dyDescent="0.25">
      <c r="A20" s="8">
        <v>2</v>
      </c>
      <c r="B20" s="9" t="s">
        <v>35</v>
      </c>
      <c r="C20" s="8" t="s">
        <v>36</v>
      </c>
      <c r="D20" s="120">
        <v>436.5</v>
      </c>
      <c r="E20" s="121" t="s">
        <v>235</v>
      </c>
      <c r="F20" s="12" t="s">
        <v>209</v>
      </c>
      <c r="G20" s="12" t="s">
        <v>122</v>
      </c>
      <c r="H20" s="21">
        <v>29</v>
      </c>
      <c r="I20" s="10" t="s">
        <v>37</v>
      </c>
      <c r="J20" s="12" t="s">
        <v>72</v>
      </c>
      <c r="K20" s="12" t="s">
        <v>38</v>
      </c>
      <c r="M20" s="32"/>
      <c r="N20" s="32"/>
    </row>
    <row r="21" spans="1:14" ht="30" x14ac:dyDescent="0.25">
      <c r="A21" s="8">
        <v>3</v>
      </c>
      <c r="B21" s="94" t="s">
        <v>202</v>
      </c>
      <c r="C21" s="10" t="s">
        <v>66</v>
      </c>
      <c r="D21" s="120">
        <v>1013</v>
      </c>
      <c r="E21" s="37"/>
      <c r="F21" s="12" t="s">
        <v>209</v>
      </c>
      <c r="G21" s="12" t="s">
        <v>122</v>
      </c>
      <c r="H21" s="21">
        <v>29</v>
      </c>
      <c r="I21" s="10"/>
      <c r="J21" s="12" t="str">
        <f t="shared" ref="J21" si="0">IF(NOT(EXACT(LOWER(A21),UPPER(A21))),"",IF(A21&gt;0,"п"&amp;A21,""))</f>
        <v>п3</v>
      </c>
      <c r="K21" s="12" t="s">
        <v>204</v>
      </c>
      <c r="M21" s="32"/>
      <c r="N21" s="32"/>
    </row>
    <row r="22" spans="1:14" ht="45" x14ac:dyDescent="0.25">
      <c r="A22" s="8">
        <v>4</v>
      </c>
      <c r="B22" s="94" t="s">
        <v>203</v>
      </c>
      <c r="C22" s="8" t="s">
        <v>36</v>
      </c>
      <c r="D22" s="120">
        <v>1965.22</v>
      </c>
      <c r="E22" s="121" t="s">
        <v>236</v>
      </c>
      <c r="F22" s="12" t="s">
        <v>209</v>
      </c>
      <c r="G22" s="12" t="s">
        <v>122</v>
      </c>
      <c r="H22" s="21">
        <v>29</v>
      </c>
      <c r="I22" s="10" t="s">
        <v>37</v>
      </c>
      <c r="J22" s="12" t="str">
        <f t="shared" ref="J22" si="1">IF(NOT(EXACT(LOWER(A22),UPPER(A22))),"",IF(A22&gt;0,"п"&amp;A22,""))</f>
        <v>п4</v>
      </c>
      <c r="K22" s="12" t="s">
        <v>38</v>
      </c>
      <c r="M22" s="32"/>
      <c r="N22" s="32"/>
    </row>
    <row r="23" spans="1:14" ht="30" x14ac:dyDescent="0.25">
      <c r="A23" s="8">
        <v>5</v>
      </c>
      <c r="B23" s="9" t="s">
        <v>39</v>
      </c>
      <c r="C23" s="10" t="s">
        <v>66</v>
      </c>
      <c r="D23" s="11">
        <v>1238</v>
      </c>
      <c r="E23" s="35"/>
      <c r="F23" s="12" t="s">
        <v>209</v>
      </c>
      <c r="G23" s="12" t="s">
        <v>122</v>
      </c>
      <c r="H23" s="21">
        <v>29</v>
      </c>
      <c r="I23" s="10"/>
      <c r="J23" s="12" t="str">
        <f t="shared" ref="J23" si="2">IF(NOT(EXACT(LOWER(A23),UPPER(A23))),"",IF(A23&gt;0,"п"&amp;A23,""))</f>
        <v>п5</v>
      </c>
      <c r="K23" s="12" t="s">
        <v>27</v>
      </c>
      <c r="M23" s="32"/>
      <c r="N23" s="32"/>
    </row>
    <row r="24" spans="1:14" ht="60" x14ac:dyDescent="0.25">
      <c r="A24" s="8">
        <v>6</v>
      </c>
      <c r="B24" s="9" t="s">
        <v>40</v>
      </c>
      <c r="C24" s="10" t="s">
        <v>66</v>
      </c>
      <c r="D24" s="11">
        <v>1238</v>
      </c>
      <c r="E24" s="35"/>
      <c r="F24" s="12" t="s">
        <v>209</v>
      </c>
      <c r="G24" s="12" t="s">
        <v>122</v>
      </c>
      <c r="H24" s="21">
        <v>29</v>
      </c>
      <c r="I24" s="10"/>
      <c r="J24" s="12" t="str">
        <f t="shared" ref="J24" si="3">IF(NOT(EXACT(LOWER(A24),UPPER(A24))),"",IF(A24&gt;0,"п"&amp;A24,""))</f>
        <v>п6</v>
      </c>
      <c r="K24" s="12" t="s">
        <v>27</v>
      </c>
      <c r="M24" s="32"/>
      <c r="N24" s="32"/>
    </row>
    <row r="25" spans="1:14" ht="30" x14ac:dyDescent="0.25">
      <c r="A25" s="8">
        <v>7</v>
      </c>
      <c r="B25" s="9" t="s">
        <v>41</v>
      </c>
      <c r="C25" s="10" t="s">
        <v>66</v>
      </c>
      <c r="D25" s="11">
        <v>371.4</v>
      </c>
      <c r="E25" s="37" t="s">
        <v>94</v>
      </c>
      <c r="F25" s="12" t="s">
        <v>209</v>
      </c>
      <c r="G25" s="12" t="s">
        <v>122</v>
      </c>
      <c r="H25" s="21">
        <v>29</v>
      </c>
      <c r="I25" s="10" t="s">
        <v>42</v>
      </c>
      <c r="J25" s="12" t="str">
        <f t="shared" ref="J25" si="4">IF(NOT(EXACT(LOWER(A25),UPPER(A25))),"",IF(A25&gt;0,"п"&amp;A25,""))</f>
        <v>п7</v>
      </c>
      <c r="K25" s="12" t="s">
        <v>27</v>
      </c>
      <c r="M25" s="32"/>
      <c r="N25" s="32"/>
    </row>
    <row r="26" spans="1:14" x14ac:dyDescent="0.25">
      <c r="A26" s="114" t="s">
        <v>43</v>
      </c>
      <c r="B26" s="115"/>
      <c r="C26" s="115"/>
      <c r="D26" s="115"/>
      <c r="E26" s="115"/>
      <c r="F26" s="115"/>
      <c r="G26" s="115"/>
      <c r="H26" s="115"/>
      <c r="I26" s="116"/>
      <c r="J26" s="14"/>
      <c r="K26" s="15"/>
    </row>
    <row r="27" spans="1:14" ht="75" x14ac:dyDescent="0.25">
      <c r="A27" s="13">
        <v>8</v>
      </c>
      <c r="B27" s="16" t="s">
        <v>44</v>
      </c>
      <c r="C27" s="12" t="s">
        <v>66</v>
      </c>
      <c r="D27" s="122">
        <v>74</v>
      </c>
      <c r="E27" s="18"/>
      <c r="F27" s="12" t="s">
        <v>209</v>
      </c>
      <c r="G27" s="12" t="s">
        <v>122</v>
      </c>
      <c r="H27" s="21">
        <v>29</v>
      </c>
      <c r="I27" s="19"/>
      <c r="J27" s="12" t="str">
        <f t="shared" ref="J27:J38" si="5">IF(NOT(EXACT(LOWER(A27),UPPER(A27))),"",IF(A27&gt;0,"п"&amp;A27,""))</f>
        <v>п8</v>
      </c>
      <c r="K27" s="19" t="s">
        <v>27</v>
      </c>
    </row>
    <row r="28" spans="1:14" ht="30" x14ac:dyDescent="0.25">
      <c r="A28" s="13">
        <v>9</v>
      </c>
      <c r="B28" s="20" t="s">
        <v>45</v>
      </c>
      <c r="C28" s="12" t="s">
        <v>36</v>
      </c>
      <c r="D28" s="122">
        <v>88.8</v>
      </c>
      <c r="E28" s="121" t="s">
        <v>237</v>
      </c>
      <c r="F28" s="12" t="s">
        <v>209</v>
      </c>
      <c r="G28" s="12" t="s">
        <v>122</v>
      </c>
      <c r="H28" s="21">
        <v>29</v>
      </c>
      <c r="I28" s="12" t="s">
        <v>46</v>
      </c>
      <c r="J28" s="12" t="str">
        <f t="shared" si="5"/>
        <v>п9</v>
      </c>
      <c r="K28" s="19" t="s">
        <v>38</v>
      </c>
    </row>
    <row r="29" spans="1:14" ht="45" x14ac:dyDescent="0.25">
      <c r="A29" s="13">
        <v>10</v>
      </c>
      <c r="B29" s="20" t="s">
        <v>47</v>
      </c>
      <c r="C29" s="12" t="s">
        <v>65</v>
      </c>
      <c r="D29" s="122">
        <v>235.65</v>
      </c>
      <c r="E29" s="18"/>
      <c r="F29" s="12" t="s">
        <v>209</v>
      </c>
      <c r="G29" s="12" t="s">
        <v>122</v>
      </c>
      <c r="H29" s="21">
        <v>29</v>
      </c>
      <c r="I29" s="19"/>
      <c r="J29" s="12" t="str">
        <f t="shared" si="5"/>
        <v>п10</v>
      </c>
      <c r="K29" s="19" t="s">
        <v>27</v>
      </c>
    </row>
    <row r="30" spans="1:14" ht="30" x14ac:dyDescent="0.25">
      <c r="A30" s="13">
        <v>11</v>
      </c>
      <c r="B30" s="20" t="s">
        <v>48</v>
      </c>
      <c r="C30" s="12" t="s">
        <v>49</v>
      </c>
      <c r="D30" s="122">
        <v>2.2200000000000002</v>
      </c>
      <c r="E30" s="121" t="s">
        <v>238</v>
      </c>
      <c r="F30" s="12" t="s">
        <v>209</v>
      </c>
      <c r="G30" s="12" t="s">
        <v>122</v>
      </c>
      <c r="H30" s="21">
        <v>29</v>
      </c>
      <c r="I30" s="12" t="s">
        <v>50</v>
      </c>
      <c r="J30" s="12" t="str">
        <f t="shared" si="5"/>
        <v>п11</v>
      </c>
      <c r="K30" s="19" t="s">
        <v>51</v>
      </c>
    </row>
    <row r="31" spans="1:14" ht="30" x14ac:dyDescent="0.25">
      <c r="A31" s="13">
        <v>12</v>
      </c>
      <c r="B31" s="20" t="s">
        <v>52</v>
      </c>
      <c r="C31" s="12" t="s">
        <v>49</v>
      </c>
      <c r="D31" s="122">
        <v>3.18</v>
      </c>
      <c r="E31" s="121" t="s">
        <v>239</v>
      </c>
      <c r="F31" s="12" t="s">
        <v>209</v>
      </c>
      <c r="G31" s="12" t="s">
        <v>122</v>
      </c>
      <c r="H31" s="21">
        <v>29</v>
      </c>
      <c r="I31" s="12" t="s">
        <v>50</v>
      </c>
      <c r="J31" s="12" t="str">
        <f t="shared" si="5"/>
        <v>п12</v>
      </c>
      <c r="K31" s="19" t="s">
        <v>51</v>
      </c>
    </row>
    <row r="32" spans="1:14" ht="30" x14ac:dyDescent="0.25">
      <c r="A32" s="13">
        <v>13</v>
      </c>
      <c r="B32" s="20" t="s">
        <v>53</v>
      </c>
      <c r="C32" s="12" t="s">
        <v>49</v>
      </c>
      <c r="D32" s="122">
        <v>0.95</v>
      </c>
      <c r="E32" s="121" t="s">
        <v>240</v>
      </c>
      <c r="F32" s="12" t="s">
        <v>209</v>
      </c>
      <c r="G32" s="12" t="s">
        <v>122</v>
      </c>
      <c r="H32" s="21">
        <v>29</v>
      </c>
      <c r="I32" s="12" t="s">
        <v>50</v>
      </c>
      <c r="J32" s="12" t="str">
        <f t="shared" si="5"/>
        <v>п13</v>
      </c>
      <c r="K32" s="19" t="s">
        <v>51</v>
      </c>
    </row>
    <row r="33" spans="1:11" ht="30" x14ac:dyDescent="0.25">
      <c r="A33" s="13">
        <v>14</v>
      </c>
      <c r="B33" s="20" t="s">
        <v>54</v>
      </c>
      <c r="C33" s="12" t="s">
        <v>65</v>
      </c>
      <c r="D33" s="122">
        <v>235.65</v>
      </c>
      <c r="E33" s="18"/>
      <c r="F33" s="12" t="s">
        <v>209</v>
      </c>
      <c r="G33" s="12" t="s">
        <v>122</v>
      </c>
      <c r="H33" s="21">
        <v>29</v>
      </c>
      <c r="I33" s="19"/>
      <c r="J33" s="12" t="str">
        <f t="shared" si="5"/>
        <v>п14</v>
      </c>
      <c r="K33" s="19" t="s">
        <v>27</v>
      </c>
    </row>
    <row r="34" spans="1:11" ht="45" x14ac:dyDescent="0.25">
      <c r="A34" s="13">
        <v>15</v>
      </c>
      <c r="B34" s="20" t="s">
        <v>55</v>
      </c>
      <c r="C34" s="12" t="s">
        <v>65</v>
      </c>
      <c r="D34" s="22">
        <v>257.66000000000003</v>
      </c>
      <c r="E34" s="23"/>
      <c r="F34" s="12" t="s">
        <v>209</v>
      </c>
      <c r="G34" s="12" t="s">
        <v>122</v>
      </c>
      <c r="H34" s="21">
        <v>29</v>
      </c>
      <c r="I34" s="19"/>
      <c r="J34" s="12" t="str">
        <f t="shared" si="5"/>
        <v>п15</v>
      </c>
      <c r="K34" s="19" t="s">
        <v>27</v>
      </c>
    </row>
    <row r="35" spans="1:11" ht="30" x14ac:dyDescent="0.25">
      <c r="A35" s="13">
        <v>16</v>
      </c>
      <c r="B35" s="20" t="s">
        <v>48</v>
      </c>
      <c r="C35" s="12" t="s">
        <v>49</v>
      </c>
      <c r="D35" s="17">
        <v>2.4300000000000002</v>
      </c>
      <c r="E35" s="37" t="s">
        <v>95</v>
      </c>
      <c r="F35" s="12" t="s">
        <v>209</v>
      </c>
      <c r="G35" s="12" t="s">
        <v>122</v>
      </c>
      <c r="H35" s="21">
        <v>29</v>
      </c>
      <c r="I35" s="12" t="s">
        <v>50</v>
      </c>
      <c r="J35" s="12" t="str">
        <f t="shared" si="5"/>
        <v>п16</v>
      </c>
      <c r="K35" s="19" t="s">
        <v>51</v>
      </c>
    </row>
    <row r="36" spans="1:11" ht="30" x14ac:dyDescent="0.25">
      <c r="A36" s="13">
        <v>17</v>
      </c>
      <c r="B36" s="20" t="s">
        <v>52</v>
      </c>
      <c r="C36" s="12" t="s">
        <v>49</v>
      </c>
      <c r="D36" s="17">
        <v>3.47</v>
      </c>
      <c r="E36" s="37" t="s">
        <v>96</v>
      </c>
      <c r="F36" s="12" t="s">
        <v>209</v>
      </c>
      <c r="G36" s="12" t="s">
        <v>122</v>
      </c>
      <c r="H36" s="21">
        <v>29</v>
      </c>
      <c r="I36" s="12" t="s">
        <v>50</v>
      </c>
      <c r="J36" s="12" t="str">
        <f t="shared" si="5"/>
        <v>п17</v>
      </c>
      <c r="K36" s="19" t="s">
        <v>51</v>
      </c>
    </row>
    <row r="37" spans="1:11" ht="30" x14ac:dyDescent="0.25">
      <c r="A37" s="13">
        <v>18</v>
      </c>
      <c r="B37" s="20" t="s">
        <v>53</v>
      </c>
      <c r="C37" s="12" t="s">
        <v>49</v>
      </c>
      <c r="D37" s="17">
        <v>1.04</v>
      </c>
      <c r="E37" s="37" t="s">
        <v>97</v>
      </c>
      <c r="F37" s="12" t="s">
        <v>209</v>
      </c>
      <c r="G37" s="12" t="s">
        <v>122</v>
      </c>
      <c r="H37" s="21">
        <v>29</v>
      </c>
      <c r="I37" s="12" t="s">
        <v>50</v>
      </c>
      <c r="J37" s="12" t="str">
        <f t="shared" si="5"/>
        <v>п18</v>
      </c>
      <c r="K37" s="19" t="s">
        <v>51</v>
      </c>
    </row>
    <row r="38" spans="1:11" ht="30" x14ac:dyDescent="0.25">
      <c r="A38" s="13">
        <v>19</v>
      </c>
      <c r="B38" s="20" t="s">
        <v>54</v>
      </c>
      <c r="C38" s="12" t="s">
        <v>65</v>
      </c>
      <c r="D38" s="17">
        <v>257.66000000000003</v>
      </c>
      <c r="E38" s="24"/>
      <c r="F38" s="12" t="s">
        <v>209</v>
      </c>
      <c r="G38" s="12" t="s">
        <v>122</v>
      </c>
      <c r="H38" s="21">
        <v>29</v>
      </c>
      <c r="I38" s="19"/>
      <c r="J38" s="12" t="str">
        <f t="shared" si="5"/>
        <v>п19</v>
      </c>
      <c r="K38" s="19" t="s">
        <v>27</v>
      </c>
    </row>
    <row r="39" spans="1:11" x14ac:dyDescent="0.25">
      <c r="A39" s="117" t="s">
        <v>78</v>
      </c>
      <c r="B39" s="118"/>
      <c r="C39" s="118"/>
      <c r="D39" s="118"/>
      <c r="E39" s="118"/>
      <c r="F39" s="118"/>
      <c r="G39" s="118"/>
      <c r="H39" s="118"/>
      <c r="I39" s="119"/>
      <c r="J39" s="25"/>
      <c r="K39" s="26"/>
    </row>
    <row r="40" spans="1:11" ht="30" x14ac:dyDescent="0.25">
      <c r="A40" s="13">
        <v>20</v>
      </c>
      <c r="B40" s="27" t="s">
        <v>67</v>
      </c>
      <c r="C40" s="10" t="s">
        <v>66</v>
      </c>
      <c r="D40" s="123">
        <v>40.729999999999997</v>
      </c>
      <c r="E40" s="124" t="s">
        <v>244</v>
      </c>
      <c r="F40" s="12" t="s">
        <v>209</v>
      </c>
      <c r="G40" s="12" t="s">
        <v>122</v>
      </c>
      <c r="H40" s="21">
        <v>29</v>
      </c>
      <c r="I40" s="13"/>
      <c r="J40" s="12" t="str">
        <f t="shared" ref="J40:J49" si="6">IF(NOT(EXACT(LOWER(A40),UPPER(A40))),"",IF(A40&gt;0,"п"&amp;A40,""))</f>
        <v>п20</v>
      </c>
      <c r="K40" s="12" t="s">
        <v>27</v>
      </c>
    </row>
    <row r="41" spans="1:11" ht="45" x14ac:dyDescent="0.25">
      <c r="A41" s="13">
        <v>21</v>
      </c>
      <c r="B41" s="96" t="s">
        <v>211</v>
      </c>
      <c r="C41" s="10" t="s">
        <v>66</v>
      </c>
      <c r="D41" s="123">
        <v>51.45</v>
      </c>
      <c r="E41" s="124" t="s">
        <v>245</v>
      </c>
      <c r="F41" s="12" t="s">
        <v>209</v>
      </c>
      <c r="G41" s="12" t="s">
        <v>122</v>
      </c>
      <c r="H41" s="21">
        <v>29</v>
      </c>
      <c r="I41" s="98" t="s">
        <v>214</v>
      </c>
      <c r="J41" s="12" t="str">
        <f t="shared" si="6"/>
        <v>п21</v>
      </c>
      <c r="K41" s="12" t="s">
        <v>51</v>
      </c>
    </row>
    <row r="42" spans="1:11" ht="30" x14ac:dyDescent="0.25">
      <c r="A42" s="13">
        <v>22</v>
      </c>
      <c r="B42" s="27" t="s">
        <v>68</v>
      </c>
      <c r="C42" s="10" t="s">
        <v>65</v>
      </c>
      <c r="D42" s="123">
        <v>271.55</v>
      </c>
      <c r="E42" s="27"/>
      <c r="F42" s="12" t="s">
        <v>209</v>
      </c>
      <c r="G42" s="12" t="s">
        <v>122</v>
      </c>
      <c r="H42" s="21">
        <v>29</v>
      </c>
      <c r="I42" s="13"/>
      <c r="J42" s="12" t="str">
        <f t="shared" si="6"/>
        <v>п22</v>
      </c>
      <c r="K42" s="12" t="s">
        <v>27</v>
      </c>
    </row>
    <row r="43" spans="1:11" ht="45" x14ac:dyDescent="0.25">
      <c r="A43" s="13">
        <v>23</v>
      </c>
      <c r="B43" s="27" t="s">
        <v>79</v>
      </c>
      <c r="C43" s="10" t="s">
        <v>65</v>
      </c>
      <c r="D43" s="123">
        <v>304.14</v>
      </c>
      <c r="E43" s="124" t="s">
        <v>243</v>
      </c>
      <c r="F43" s="12" t="s">
        <v>209</v>
      </c>
      <c r="G43" s="12" t="s">
        <v>122</v>
      </c>
      <c r="H43" s="21">
        <v>29</v>
      </c>
      <c r="I43" s="13" t="s">
        <v>73</v>
      </c>
      <c r="J43" s="12" t="str">
        <f t="shared" si="6"/>
        <v>п23</v>
      </c>
      <c r="K43" s="12" t="s">
        <v>51</v>
      </c>
    </row>
    <row r="44" spans="1:11" ht="30" x14ac:dyDescent="0.25">
      <c r="A44" s="13">
        <v>24</v>
      </c>
      <c r="B44" s="9" t="s">
        <v>81</v>
      </c>
      <c r="C44" s="10" t="s">
        <v>65</v>
      </c>
      <c r="D44" s="123">
        <v>271.55</v>
      </c>
      <c r="E44" s="27"/>
      <c r="F44" s="12" t="s">
        <v>209</v>
      </c>
      <c r="G44" s="12" t="s">
        <v>122</v>
      </c>
      <c r="H44" s="21">
        <v>29</v>
      </c>
      <c r="I44" s="13"/>
      <c r="J44" s="12" t="str">
        <f t="shared" si="6"/>
        <v>п24</v>
      </c>
      <c r="K44" s="12" t="s">
        <v>27</v>
      </c>
    </row>
    <row r="45" spans="1:11" ht="45" x14ac:dyDescent="0.25">
      <c r="A45" s="13">
        <v>25</v>
      </c>
      <c r="B45" s="44" t="s">
        <v>80</v>
      </c>
      <c r="C45" s="10" t="s">
        <v>66</v>
      </c>
      <c r="D45" s="123">
        <v>56.48</v>
      </c>
      <c r="E45" s="124" t="s">
        <v>242</v>
      </c>
      <c r="F45" s="12" t="s">
        <v>209</v>
      </c>
      <c r="G45" s="12" t="s">
        <v>122</v>
      </c>
      <c r="H45" s="21">
        <v>29</v>
      </c>
      <c r="I45" s="13" t="s">
        <v>74</v>
      </c>
      <c r="J45" s="12" t="str">
        <f t="shared" si="6"/>
        <v>п25</v>
      </c>
      <c r="K45" s="12" t="s">
        <v>51</v>
      </c>
    </row>
    <row r="46" spans="1:11" ht="30" x14ac:dyDescent="0.25">
      <c r="A46" s="13">
        <v>26</v>
      </c>
      <c r="B46" s="45" t="s">
        <v>82</v>
      </c>
      <c r="C46" s="10" t="s">
        <v>36</v>
      </c>
      <c r="D46" s="28">
        <v>0.19</v>
      </c>
      <c r="E46" s="124" t="s">
        <v>241</v>
      </c>
      <c r="F46" s="12" t="s">
        <v>209</v>
      </c>
      <c r="G46" s="12" t="s">
        <v>122</v>
      </c>
      <c r="H46" s="21">
        <v>29</v>
      </c>
      <c r="I46" s="13" t="s">
        <v>75</v>
      </c>
      <c r="J46" s="12" t="str">
        <f t="shared" si="6"/>
        <v>п26</v>
      </c>
      <c r="K46" s="12"/>
    </row>
    <row r="47" spans="1:11" ht="30" x14ac:dyDescent="0.25">
      <c r="A47" s="13">
        <v>27</v>
      </c>
      <c r="B47" s="46" t="s">
        <v>216</v>
      </c>
      <c r="C47" s="10" t="s">
        <v>36</v>
      </c>
      <c r="D47" s="28">
        <v>0.2</v>
      </c>
      <c r="E47" s="27" t="s">
        <v>84</v>
      </c>
      <c r="F47" s="12" t="s">
        <v>209</v>
      </c>
      <c r="G47" s="12" t="s">
        <v>122</v>
      </c>
      <c r="H47" s="21">
        <v>29</v>
      </c>
      <c r="I47" s="13" t="s">
        <v>70</v>
      </c>
      <c r="J47" s="12" t="str">
        <f t="shared" si="6"/>
        <v>п27</v>
      </c>
      <c r="K47" s="12"/>
    </row>
    <row r="48" spans="1:11" ht="30" x14ac:dyDescent="0.25">
      <c r="A48" s="13">
        <v>28</v>
      </c>
      <c r="B48" s="47" t="s">
        <v>69</v>
      </c>
      <c r="C48" s="10" t="s">
        <v>65</v>
      </c>
      <c r="D48" s="123">
        <v>271.55</v>
      </c>
      <c r="E48" s="27"/>
      <c r="F48" s="12" t="s">
        <v>209</v>
      </c>
      <c r="G48" s="12" t="s">
        <v>122</v>
      </c>
      <c r="H48" s="21">
        <v>29</v>
      </c>
      <c r="I48" s="10"/>
      <c r="J48" s="12" t="str">
        <f t="shared" si="6"/>
        <v>п28</v>
      </c>
      <c r="K48" s="12" t="s">
        <v>27</v>
      </c>
    </row>
    <row r="49" spans="1:11" ht="45" x14ac:dyDescent="0.25">
      <c r="A49" s="13">
        <v>29</v>
      </c>
      <c r="B49" s="52" t="s">
        <v>215</v>
      </c>
      <c r="C49" s="10" t="s">
        <v>36</v>
      </c>
      <c r="D49" s="120">
        <v>34.1</v>
      </c>
      <c r="E49" s="124" t="s">
        <v>98</v>
      </c>
      <c r="F49" s="12" t="s">
        <v>209</v>
      </c>
      <c r="G49" s="12" t="s">
        <v>122</v>
      </c>
      <c r="H49" s="21">
        <v>29</v>
      </c>
      <c r="I49" s="13"/>
      <c r="J49" s="12" t="str">
        <f t="shared" si="6"/>
        <v>п29</v>
      </c>
      <c r="K49" s="12" t="s">
        <v>51</v>
      </c>
    </row>
    <row r="50" spans="1:11" x14ac:dyDescent="0.25">
      <c r="A50" s="114" t="s">
        <v>85</v>
      </c>
      <c r="B50" s="115"/>
      <c r="C50" s="115"/>
      <c r="D50" s="115"/>
      <c r="E50" s="115"/>
      <c r="F50" s="115"/>
      <c r="G50" s="115"/>
      <c r="H50" s="115"/>
      <c r="I50" s="116"/>
      <c r="J50" s="25"/>
      <c r="K50" s="26"/>
    </row>
    <row r="51" spans="1:11" ht="31.5" customHeight="1" x14ac:dyDescent="0.25">
      <c r="A51" s="13">
        <v>30</v>
      </c>
      <c r="B51" s="46" t="s">
        <v>86</v>
      </c>
      <c r="C51" s="48" t="s">
        <v>87</v>
      </c>
      <c r="D51" s="125">
        <v>176.88</v>
      </c>
      <c r="E51" s="27"/>
      <c r="F51" s="12" t="s">
        <v>209</v>
      </c>
      <c r="G51" s="12" t="s">
        <v>122</v>
      </c>
      <c r="H51" s="21">
        <v>29</v>
      </c>
      <c r="I51" s="13"/>
      <c r="J51" s="12" t="str">
        <f t="shared" ref="J51:J65" si="7">IF(NOT(EXACT(LOWER(A51),UPPER(A51))),"",IF(A51&gt;0,"п"&amp;A51,""))</f>
        <v>п30</v>
      </c>
      <c r="K51" s="12" t="s">
        <v>27</v>
      </c>
    </row>
    <row r="52" spans="1:11" ht="45" x14ac:dyDescent="0.25">
      <c r="A52" s="13">
        <v>31</v>
      </c>
      <c r="B52" s="52" t="s">
        <v>211</v>
      </c>
      <c r="C52" s="48" t="s">
        <v>88</v>
      </c>
      <c r="D52" s="125">
        <v>22.34</v>
      </c>
      <c r="E52" s="124" t="s">
        <v>249</v>
      </c>
      <c r="F52" s="12" t="s">
        <v>209</v>
      </c>
      <c r="G52" s="12" t="s">
        <v>122</v>
      </c>
      <c r="H52" s="21">
        <v>29</v>
      </c>
      <c r="I52" s="98" t="s">
        <v>212</v>
      </c>
      <c r="J52" s="12" t="str">
        <f t="shared" si="7"/>
        <v>п31</v>
      </c>
      <c r="K52" s="12" t="s">
        <v>51</v>
      </c>
    </row>
    <row r="53" spans="1:11" ht="30" x14ac:dyDescent="0.25">
      <c r="A53" s="13">
        <v>32</v>
      </c>
      <c r="B53" s="52" t="s">
        <v>123</v>
      </c>
      <c r="C53" s="48" t="s">
        <v>87</v>
      </c>
      <c r="D53" s="125">
        <v>176.88</v>
      </c>
      <c r="E53" s="27"/>
      <c r="F53" s="12" t="s">
        <v>209</v>
      </c>
      <c r="G53" s="12" t="s">
        <v>122</v>
      </c>
      <c r="H53" s="21">
        <v>29</v>
      </c>
      <c r="I53" s="13"/>
      <c r="J53" s="12" t="str">
        <f t="shared" si="7"/>
        <v>п32</v>
      </c>
      <c r="K53" s="12" t="s">
        <v>51</v>
      </c>
    </row>
    <row r="54" spans="1:11" ht="30" x14ac:dyDescent="0.25">
      <c r="A54" s="13">
        <v>33</v>
      </c>
      <c r="B54" s="52" t="s">
        <v>124</v>
      </c>
      <c r="C54" s="48" t="s">
        <v>87</v>
      </c>
      <c r="D54" s="125">
        <v>176.88</v>
      </c>
      <c r="E54" s="27"/>
      <c r="F54" s="12" t="s">
        <v>209</v>
      </c>
      <c r="G54" s="12" t="s">
        <v>122</v>
      </c>
      <c r="H54" s="21">
        <v>29</v>
      </c>
      <c r="I54" s="13"/>
      <c r="J54" s="12" t="str">
        <f t="shared" si="7"/>
        <v>п33</v>
      </c>
      <c r="K54" s="12" t="s">
        <v>51</v>
      </c>
    </row>
    <row r="55" spans="1:11" ht="45" x14ac:dyDescent="0.25">
      <c r="A55" s="13">
        <v>34</v>
      </c>
      <c r="B55" s="46" t="s">
        <v>205</v>
      </c>
      <c r="C55" s="48" t="s">
        <v>88</v>
      </c>
      <c r="D55" s="120">
        <v>23</v>
      </c>
      <c r="E55" s="27" t="s">
        <v>248</v>
      </c>
      <c r="F55" s="12" t="s">
        <v>209</v>
      </c>
      <c r="G55" s="12" t="s">
        <v>122</v>
      </c>
      <c r="H55" s="21">
        <v>29</v>
      </c>
      <c r="I55" s="13" t="s">
        <v>74</v>
      </c>
      <c r="J55" s="12" t="str">
        <f t="shared" ref="J55" si="8">IF(NOT(EXACT(LOWER(A55),UPPER(A55))),"",IF(A55&gt;0,"п"&amp;A55,""))</f>
        <v>п34</v>
      </c>
      <c r="K55" s="12" t="s">
        <v>51</v>
      </c>
    </row>
    <row r="56" spans="1:11" ht="30" x14ac:dyDescent="0.25">
      <c r="A56" s="13">
        <v>35</v>
      </c>
      <c r="B56" s="46" t="s">
        <v>82</v>
      </c>
      <c r="C56" s="48" t="s">
        <v>36</v>
      </c>
      <c r="D56" s="10">
        <v>0.12</v>
      </c>
      <c r="E56" s="124" t="s">
        <v>247</v>
      </c>
      <c r="F56" s="12" t="s">
        <v>209</v>
      </c>
      <c r="G56" s="12" t="s">
        <v>122</v>
      </c>
      <c r="H56" s="21">
        <v>29</v>
      </c>
      <c r="I56" s="13" t="s">
        <v>89</v>
      </c>
      <c r="J56" s="12" t="str">
        <f t="shared" si="7"/>
        <v>п35</v>
      </c>
      <c r="K56" s="12" t="s">
        <v>27</v>
      </c>
    </row>
    <row r="57" spans="1:11" ht="30" x14ac:dyDescent="0.25">
      <c r="A57" s="13">
        <v>36</v>
      </c>
      <c r="B57" s="46" t="s">
        <v>216</v>
      </c>
      <c r="C57" s="48" t="s">
        <v>36</v>
      </c>
      <c r="D57" s="10">
        <v>0.12</v>
      </c>
      <c r="E57" s="27" t="s">
        <v>99</v>
      </c>
      <c r="F57" s="12" t="s">
        <v>209</v>
      </c>
      <c r="G57" s="12" t="s">
        <v>122</v>
      </c>
      <c r="H57" s="21">
        <v>29</v>
      </c>
      <c r="I57" s="13" t="s">
        <v>70</v>
      </c>
      <c r="J57" s="12" t="str">
        <f t="shared" si="7"/>
        <v>п36</v>
      </c>
      <c r="K57" s="12" t="s">
        <v>51</v>
      </c>
    </row>
    <row r="58" spans="1:11" ht="30" x14ac:dyDescent="0.25">
      <c r="A58" s="13">
        <v>37</v>
      </c>
      <c r="B58" s="46" t="s">
        <v>69</v>
      </c>
      <c r="C58" s="48" t="s">
        <v>87</v>
      </c>
      <c r="D58" s="125">
        <v>176.88</v>
      </c>
      <c r="E58" s="27"/>
      <c r="F58" s="12" t="s">
        <v>209</v>
      </c>
      <c r="G58" s="12" t="s">
        <v>122</v>
      </c>
      <c r="H58" s="21">
        <v>29</v>
      </c>
      <c r="I58" s="13"/>
      <c r="J58" s="12" t="str">
        <f t="shared" si="7"/>
        <v>п37</v>
      </c>
      <c r="K58" s="12" t="s">
        <v>27</v>
      </c>
    </row>
    <row r="59" spans="1:11" ht="45" x14ac:dyDescent="0.25">
      <c r="A59" s="13">
        <v>38</v>
      </c>
      <c r="B59" s="52" t="s">
        <v>215</v>
      </c>
      <c r="C59" s="48" t="s">
        <v>36</v>
      </c>
      <c r="D59" s="125">
        <v>22.22</v>
      </c>
      <c r="E59" s="124" t="s">
        <v>246</v>
      </c>
      <c r="F59" s="12" t="s">
        <v>209</v>
      </c>
      <c r="G59" s="12" t="s">
        <v>122</v>
      </c>
      <c r="H59" s="21">
        <v>29</v>
      </c>
      <c r="I59" s="13"/>
      <c r="J59" s="12" t="str">
        <f t="shared" si="7"/>
        <v>п38</v>
      </c>
      <c r="K59" s="12" t="s">
        <v>51</v>
      </c>
    </row>
    <row r="60" spans="1:11" ht="15" customHeight="1" x14ac:dyDescent="0.25">
      <c r="A60" s="113" t="s">
        <v>76</v>
      </c>
      <c r="B60" s="113"/>
      <c r="C60" s="113"/>
      <c r="D60" s="113"/>
      <c r="E60" s="113"/>
      <c r="F60" s="113"/>
      <c r="G60" s="113"/>
      <c r="H60" s="113"/>
      <c r="I60" s="113"/>
      <c r="J60" s="5"/>
      <c r="K60" s="7"/>
    </row>
    <row r="61" spans="1:11" ht="33" customHeight="1" x14ac:dyDescent="0.25">
      <c r="A61" s="13">
        <v>39</v>
      </c>
      <c r="B61" s="53" t="s">
        <v>56</v>
      </c>
      <c r="C61" s="10" t="s">
        <v>65</v>
      </c>
      <c r="D61" s="11">
        <v>64.83</v>
      </c>
      <c r="E61" s="30" t="s">
        <v>100</v>
      </c>
      <c r="F61" s="12" t="s">
        <v>209</v>
      </c>
      <c r="G61" s="12" t="s">
        <v>122</v>
      </c>
      <c r="H61" s="21">
        <v>29</v>
      </c>
      <c r="I61" s="13" t="s">
        <v>57</v>
      </c>
      <c r="J61" s="12" t="str">
        <f t="shared" si="7"/>
        <v>п39</v>
      </c>
      <c r="K61" s="12" t="s">
        <v>27</v>
      </c>
    </row>
    <row r="62" spans="1:11" ht="45" x14ac:dyDescent="0.25">
      <c r="A62" s="13">
        <v>40</v>
      </c>
      <c r="B62" s="31" t="s">
        <v>58</v>
      </c>
      <c r="C62" s="10" t="s">
        <v>66</v>
      </c>
      <c r="D62" s="11">
        <v>17.46</v>
      </c>
      <c r="E62" s="30" t="s">
        <v>129</v>
      </c>
      <c r="F62" s="12" t="s">
        <v>209</v>
      </c>
      <c r="G62" s="12" t="s">
        <v>122</v>
      </c>
      <c r="H62" s="21">
        <v>29</v>
      </c>
      <c r="I62" s="10" t="s">
        <v>59</v>
      </c>
      <c r="J62" s="12" t="str">
        <f t="shared" si="7"/>
        <v>п40</v>
      </c>
      <c r="K62" s="12" t="s">
        <v>51</v>
      </c>
    </row>
    <row r="63" spans="1:11" ht="90" x14ac:dyDescent="0.25">
      <c r="A63" s="13">
        <v>41</v>
      </c>
      <c r="B63" s="31" t="s">
        <v>60</v>
      </c>
      <c r="C63" s="8" t="s">
        <v>61</v>
      </c>
      <c r="D63" s="11">
        <v>231.55</v>
      </c>
      <c r="E63" s="38"/>
      <c r="F63" s="12" t="s">
        <v>209</v>
      </c>
      <c r="G63" s="12" t="s">
        <v>122</v>
      </c>
      <c r="H63" s="21">
        <v>29</v>
      </c>
      <c r="I63" s="29"/>
      <c r="J63" s="12" t="str">
        <f t="shared" si="7"/>
        <v>п41</v>
      </c>
      <c r="K63" s="12" t="s">
        <v>27</v>
      </c>
    </row>
    <row r="64" spans="1:11" ht="30" x14ac:dyDescent="0.25">
      <c r="A64" s="13">
        <v>42</v>
      </c>
      <c r="B64" s="31" t="s">
        <v>62</v>
      </c>
      <c r="C64" s="10" t="s">
        <v>66</v>
      </c>
      <c r="D64" s="11">
        <v>11.34</v>
      </c>
      <c r="E64" s="30" t="s">
        <v>101</v>
      </c>
      <c r="F64" s="12" t="s">
        <v>209</v>
      </c>
      <c r="G64" s="12" t="s">
        <v>122</v>
      </c>
      <c r="H64" s="21">
        <v>29</v>
      </c>
      <c r="I64" s="13" t="s">
        <v>63</v>
      </c>
      <c r="J64" s="12" t="str">
        <f t="shared" si="7"/>
        <v>п42</v>
      </c>
      <c r="K64" s="12" t="s">
        <v>51</v>
      </c>
    </row>
    <row r="65" spans="1:11" ht="60" x14ac:dyDescent="0.25">
      <c r="A65" s="13">
        <v>43</v>
      </c>
      <c r="B65" s="53" t="s">
        <v>64</v>
      </c>
      <c r="C65" s="10" t="s">
        <v>125</v>
      </c>
      <c r="D65" s="11">
        <v>231.55</v>
      </c>
      <c r="E65" s="30"/>
      <c r="F65" s="12" t="s">
        <v>209</v>
      </c>
      <c r="G65" s="12" t="s">
        <v>122</v>
      </c>
      <c r="H65" s="21">
        <v>29</v>
      </c>
      <c r="I65" s="13"/>
      <c r="J65" s="12" t="str">
        <f t="shared" si="7"/>
        <v>п43</v>
      </c>
      <c r="K65" s="12" t="s">
        <v>51</v>
      </c>
    </row>
    <row r="66" spans="1:11" ht="15" customHeight="1" x14ac:dyDescent="0.25">
      <c r="A66" s="49"/>
      <c r="B66" s="50"/>
      <c r="C66" s="50"/>
      <c r="D66" s="50"/>
      <c r="E66" s="50"/>
      <c r="F66" s="50"/>
      <c r="G66" s="50"/>
      <c r="H66" s="50"/>
      <c r="I66" s="51"/>
      <c r="J66" s="33"/>
      <c r="K66" s="34"/>
    </row>
    <row r="67" spans="1:11" x14ac:dyDescent="0.25">
      <c r="A67" s="39"/>
      <c r="B67" s="40"/>
      <c r="C67" s="40"/>
      <c r="D67" s="40"/>
      <c r="E67" s="40"/>
      <c r="F67" s="43" t="s">
        <v>102</v>
      </c>
      <c r="G67" s="41"/>
      <c r="H67" s="41"/>
      <c r="I67" s="42"/>
      <c r="J67" s="5"/>
      <c r="K67" s="5"/>
    </row>
    <row r="68" spans="1:11" x14ac:dyDescent="0.25">
      <c r="A68" s="114" t="s">
        <v>33</v>
      </c>
      <c r="B68" s="115"/>
      <c r="C68" s="115"/>
      <c r="D68" s="115"/>
      <c r="E68" s="115"/>
      <c r="F68" s="115"/>
      <c r="G68" s="115"/>
      <c r="H68" s="115"/>
      <c r="I68" s="116"/>
      <c r="J68" s="5"/>
      <c r="K68" s="7"/>
    </row>
    <row r="69" spans="1:11" ht="45" x14ac:dyDescent="0.25">
      <c r="A69" s="8">
        <v>44</v>
      </c>
      <c r="B69" s="9" t="s">
        <v>34</v>
      </c>
      <c r="C69" s="10" t="s">
        <v>66</v>
      </c>
      <c r="D69" s="11">
        <v>234</v>
      </c>
      <c r="E69" s="35"/>
      <c r="F69" s="12" t="s">
        <v>209</v>
      </c>
      <c r="G69" s="12" t="s">
        <v>122</v>
      </c>
      <c r="H69" s="21">
        <v>30</v>
      </c>
      <c r="I69" s="10"/>
      <c r="J69" s="12" t="str">
        <f t="shared" ref="J69:J75" si="9">IF(NOT(EXACT(LOWER(A69),UPPER(A69))),"",IF(A69&gt;0,"п"&amp;A69,""))</f>
        <v>п44</v>
      </c>
      <c r="K69" s="12" t="s">
        <v>27</v>
      </c>
    </row>
    <row r="70" spans="1:11" ht="45" x14ac:dyDescent="0.25">
      <c r="A70" s="8">
        <v>45</v>
      </c>
      <c r="B70" s="9" t="s">
        <v>35</v>
      </c>
      <c r="C70" s="8" t="s">
        <v>36</v>
      </c>
      <c r="D70" s="11">
        <v>453.96</v>
      </c>
      <c r="E70" s="37" t="s">
        <v>206</v>
      </c>
      <c r="F70" s="12" t="s">
        <v>209</v>
      </c>
      <c r="G70" s="12" t="s">
        <v>122</v>
      </c>
      <c r="H70" s="21">
        <v>30</v>
      </c>
      <c r="I70" s="10" t="s">
        <v>37</v>
      </c>
      <c r="J70" s="12" t="str">
        <f t="shared" si="9"/>
        <v>п45</v>
      </c>
      <c r="K70" s="12" t="s">
        <v>38</v>
      </c>
    </row>
    <row r="71" spans="1:11" ht="30" x14ac:dyDescent="0.25">
      <c r="A71" s="8">
        <v>46</v>
      </c>
      <c r="B71" s="94" t="s">
        <v>202</v>
      </c>
      <c r="C71" s="10" t="s">
        <v>66</v>
      </c>
      <c r="D71" s="11">
        <v>514</v>
      </c>
      <c r="E71" s="37"/>
      <c r="F71" s="12" t="s">
        <v>209</v>
      </c>
      <c r="G71" s="12" t="s">
        <v>122</v>
      </c>
      <c r="H71" s="21">
        <v>30</v>
      </c>
      <c r="I71" s="10"/>
      <c r="J71" s="12" t="str">
        <f t="shared" si="9"/>
        <v>п46</v>
      </c>
      <c r="K71" s="12" t="s">
        <v>204</v>
      </c>
    </row>
    <row r="72" spans="1:11" ht="45" x14ac:dyDescent="0.25">
      <c r="A72" s="8">
        <v>47</v>
      </c>
      <c r="B72" s="94" t="s">
        <v>203</v>
      </c>
      <c r="C72" s="8" t="s">
        <v>36</v>
      </c>
      <c r="D72" s="11">
        <v>997.16</v>
      </c>
      <c r="E72" s="37" t="s">
        <v>103</v>
      </c>
      <c r="F72" s="12" t="s">
        <v>209</v>
      </c>
      <c r="G72" s="12" t="s">
        <v>122</v>
      </c>
      <c r="H72" s="21">
        <v>30</v>
      </c>
      <c r="I72" s="10" t="s">
        <v>37</v>
      </c>
      <c r="J72" s="12" t="str">
        <f t="shared" si="9"/>
        <v>п47</v>
      </c>
      <c r="K72" s="12" t="s">
        <v>38</v>
      </c>
    </row>
    <row r="73" spans="1:11" ht="30" x14ac:dyDescent="0.25">
      <c r="A73" s="8">
        <v>48</v>
      </c>
      <c r="B73" s="9" t="s">
        <v>39</v>
      </c>
      <c r="C73" s="10" t="s">
        <v>66</v>
      </c>
      <c r="D73" s="11">
        <v>748</v>
      </c>
      <c r="E73" s="35"/>
      <c r="F73" s="12" t="s">
        <v>209</v>
      </c>
      <c r="G73" s="12" t="s">
        <v>122</v>
      </c>
      <c r="H73" s="21">
        <v>30</v>
      </c>
      <c r="I73" s="10"/>
      <c r="J73" s="12" t="str">
        <f t="shared" si="9"/>
        <v>п48</v>
      </c>
      <c r="K73" s="12" t="s">
        <v>27</v>
      </c>
    </row>
    <row r="74" spans="1:11" ht="60" x14ac:dyDescent="0.25">
      <c r="A74" s="8">
        <v>49</v>
      </c>
      <c r="B74" s="9" t="s">
        <v>40</v>
      </c>
      <c r="C74" s="10" t="s">
        <v>66</v>
      </c>
      <c r="D74" s="11">
        <v>748</v>
      </c>
      <c r="E74" s="35"/>
      <c r="F74" s="12" t="s">
        <v>209</v>
      </c>
      <c r="G74" s="12" t="s">
        <v>122</v>
      </c>
      <c r="H74" s="21">
        <v>30</v>
      </c>
      <c r="I74" s="10"/>
      <c r="J74" s="12" t="str">
        <f t="shared" si="9"/>
        <v>п49</v>
      </c>
      <c r="K74" s="12" t="s">
        <v>27</v>
      </c>
    </row>
    <row r="75" spans="1:11" ht="30" x14ac:dyDescent="0.25">
      <c r="A75" s="8">
        <v>50</v>
      </c>
      <c r="B75" s="9" t="s">
        <v>41</v>
      </c>
      <c r="C75" s="10" t="s">
        <v>66</v>
      </c>
      <c r="D75" s="11">
        <v>224.4</v>
      </c>
      <c r="E75" s="37" t="s">
        <v>104</v>
      </c>
      <c r="F75" s="12" t="s">
        <v>209</v>
      </c>
      <c r="G75" s="12" t="s">
        <v>122</v>
      </c>
      <c r="H75" s="21">
        <v>30</v>
      </c>
      <c r="I75" s="10" t="s">
        <v>42</v>
      </c>
      <c r="J75" s="12" t="str">
        <f t="shared" si="9"/>
        <v>п50</v>
      </c>
      <c r="K75" s="12" t="s">
        <v>27</v>
      </c>
    </row>
    <row r="76" spans="1:11" x14ac:dyDescent="0.25">
      <c r="A76" s="114" t="s">
        <v>43</v>
      </c>
      <c r="B76" s="115"/>
      <c r="C76" s="115"/>
      <c r="D76" s="115"/>
      <c r="E76" s="115"/>
      <c r="F76" s="115"/>
      <c r="G76" s="115"/>
      <c r="H76" s="115"/>
      <c r="I76" s="116"/>
      <c r="J76" s="14"/>
      <c r="K76" s="15"/>
    </row>
    <row r="77" spans="1:11" ht="75" x14ac:dyDescent="0.25">
      <c r="A77" s="13">
        <v>51</v>
      </c>
      <c r="B77" s="16" t="s">
        <v>44</v>
      </c>
      <c r="C77" s="12" t="s">
        <v>66</v>
      </c>
      <c r="D77" s="17">
        <v>214</v>
      </c>
      <c r="E77" s="18"/>
      <c r="F77" s="12" t="s">
        <v>209</v>
      </c>
      <c r="G77" s="12" t="s">
        <v>122</v>
      </c>
      <c r="H77" s="21">
        <v>30</v>
      </c>
      <c r="I77" s="19"/>
      <c r="J77" s="12" t="str">
        <f t="shared" ref="J77:J88" si="10">IF(NOT(EXACT(LOWER(A77),UPPER(A77))),"",IF(A77&gt;0,"п"&amp;A77,""))</f>
        <v>п51</v>
      </c>
      <c r="K77" s="19" t="s">
        <v>27</v>
      </c>
    </row>
    <row r="78" spans="1:11" ht="30" x14ac:dyDescent="0.25">
      <c r="A78" s="13">
        <v>52</v>
      </c>
      <c r="B78" s="20" t="s">
        <v>45</v>
      </c>
      <c r="C78" s="12" t="s">
        <v>36</v>
      </c>
      <c r="D78" s="17">
        <v>256.8</v>
      </c>
      <c r="E78" s="37" t="s">
        <v>105</v>
      </c>
      <c r="F78" s="12" t="s">
        <v>209</v>
      </c>
      <c r="G78" s="12" t="s">
        <v>122</v>
      </c>
      <c r="H78" s="21">
        <v>30</v>
      </c>
      <c r="I78" s="12" t="s">
        <v>46</v>
      </c>
      <c r="J78" s="12" t="str">
        <f t="shared" si="10"/>
        <v>п52</v>
      </c>
      <c r="K78" s="19" t="s">
        <v>38</v>
      </c>
    </row>
    <row r="79" spans="1:11" ht="45" x14ac:dyDescent="0.25">
      <c r="A79" s="13">
        <v>53</v>
      </c>
      <c r="B79" s="20" t="s">
        <v>47</v>
      </c>
      <c r="C79" s="12" t="s">
        <v>65</v>
      </c>
      <c r="D79" s="17">
        <v>76.73</v>
      </c>
      <c r="E79" s="18"/>
      <c r="F79" s="12" t="s">
        <v>209</v>
      </c>
      <c r="G79" s="12" t="s">
        <v>122</v>
      </c>
      <c r="H79" s="21">
        <v>30</v>
      </c>
      <c r="I79" s="19"/>
      <c r="J79" s="12" t="str">
        <f t="shared" si="10"/>
        <v>п53</v>
      </c>
      <c r="K79" s="19" t="s">
        <v>27</v>
      </c>
    </row>
    <row r="80" spans="1:11" ht="30" x14ac:dyDescent="0.25">
      <c r="A80" s="13">
        <v>54</v>
      </c>
      <c r="B80" s="20" t="s">
        <v>48</v>
      </c>
      <c r="C80" s="12" t="s">
        <v>49</v>
      </c>
      <c r="D80" s="17">
        <v>0.72</v>
      </c>
      <c r="E80" s="37" t="s">
        <v>106</v>
      </c>
      <c r="F80" s="12" t="s">
        <v>209</v>
      </c>
      <c r="G80" s="12" t="s">
        <v>122</v>
      </c>
      <c r="H80" s="21">
        <v>30</v>
      </c>
      <c r="I80" s="12" t="s">
        <v>50</v>
      </c>
      <c r="J80" s="12" t="str">
        <f t="shared" si="10"/>
        <v>п54</v>
      </c>
      <c r="K80" s="19" t="s">
        <v>51</v>
      </c>
    </row>
    <row r="81" spans="1:11" ht="30" x14ac:dyDescent="0.25">
      <c r="A81" s="13">
        <v>55</v>
      </c>
      <c r="B81" s="20" t="s">
        <v>52</v>
      </c>
      <c r="C81" s="12" t="s">
        <v>49</v>
      </c>
      <c r="D81" s="17">
        <v>1.03</v>
      </c>
      <c r="E81" s="37" t="s">
        <v>107</v>
      </c>
      <c r="F81" s="12" t="s">
        <v>209</v>
      </c>
      <c r="G81" s="12" t="s">
        <v>122</v>
      </c>
      <c r="H81" s="21">
        <v>30</v>
      </c>
      <c r="I81" s="12" t="s">
        <v>50</v>
      </c>
      <c r="J81" s="12" t="str">
        <f t="shared" si="10"/>
        <v>п55</v>
      </c>
      <c r="K81" s="19" t="s">
        <v>51</v>
      </c>
    </row>
    <row r="82" spans="1:11" ht="30" x14ac:dyDescent="0.25">
      <c r="A82" s="13">
        <v>56</v>
      </c>
      <c r="B82" s="20" t="s">
        <v>53</v>
      </c>
      <c r="C82" s="12" t="s">
        <v>49</v>
      </c>
      <c r="D82" s="17">
        <v>0.31</v>
      </c>
      <c r="E82" s="37" t="s">
        <v>108</v>
      </c>
      <c r="F82" s="12" t="s">
        <v>209</v>
      </c>
      <c r="G82" s="12" t="s">
        <v>122</v>
      </c>
      <c r="H82" s="21">
        <v>30</v>
      </c>
      <c r="I82" s="12" t="s">
        <v>50</v>
      </c>
      <c r="J82" s="12" t="str">
        <f t="shared" si="10"/>
        <v>п56</v>
      </c>
      <c r="K82" s="19" t="s">
        <v>51</v>
      </c>
    </row>
    <row r="83" spans="1:11" ht="30" x14ac:dyDescent="0.25">
      <c r="A83" s="13">
        <v>57</v>
      </c>
      <c r="B83" s="20" t="s">
        <v>54</v>
      </c>
      <c r="C83" s="12" t="s">
        <v>65</v>
      </c>
      <c r="D83" s="17">
        <v>76.73</v>
      </c>
      <c r="E83" s="18"/>
      <c r="F83" s="12" t="s">
        <v>209</v>
      </c>
      <c r="G83" s="12" t="s">
        <v>122</v>
      </c>
      <c r="H83" s="21">
        <v>30</v>
      </c>
      <c r="I83" s="19"/>
      <c r="J83" s="12" t="str">
        <f t="shared" si="10"/>
        <v>п57</v>
      </c>
      <c r="K83" s="19" t="s">
        <v>27</v>
      </c>
    </row>
    <row r="84" spans="1:11" ht="45" x14ac:dyDescent="0.25">
      <c r="A84" s="13">
        <v>58</v>
      </c>
      <c r="B84" s="20" t="s">
        <v>55</v>
      </c>
      <c r="C84" s="12" t="s">
        <v>65</v>
      </c>
      <c r="D84" s="22">
        <v>212.56</v>
      </c>
      <c r="E84" s="23"/>
      <c r="F84" s="12" t="s">
        <v>209</v>
      </c>
      <c r="G84" s="12" t="s">
        <v>122</v>
      </c>
      <c r="H84" s="21">
        <v>30</v>
      </c>
      <c r="I84" s="19"/>
      <c r="J84" s="12" t="str">
        <f t="shared" si="10"/>
        <v>п58</v>
      </c>
      <c r="K84" s="19" t="s">
        <v>27</v>
      </c>
    </row>
    <row r="85" spans="1:11" ht="30" x14ac:dyDescent="0.25">
      <c r="A85" s="13">
        <v>59</v>
      </c>
      <c r="B85" s="20" t="s">
        <v>48</v>
      </c>
      <c r="C85" s="12" t="s">
        <v>49</v>
      </c>
      <c r="D85" s="17">
        <v>2</v>
      </c>
      <c r="E85" s="37" t="s">
        <v>109</v>
      </c>
      <c r="F85" s="12" t="s">
        <v>209</v>
      </c>
      <c r="G85" s="12" t="s">
        <v>122</v>
      </c>
      <c r="H85" s="21">
        <v>30</v>
      </c>
      <c r="I85" s="12" t="s">
        <v>50</v>
      </c>
      <c r="J85" s="12" t="str">
        <f t="shared" si="10"/>
        <v>п59</v>
      </c>
      <c r="K85" s="19" t="s">
        <v>51</v>
      </c>
    </row>
    <row r="86" spans="1:11" ht="30" x14ac:dyDescent="0.25">
      <c r="A86" s="13">
        <v>60</v>
      </c>
      <c r="B86" s="20" t="s">
        <v>52</v>
      </c>
      <c r="C86" s="12" t="s">
        <v>49</v>
      </c>
      <c r="D86" s="17">
        <v>2.87</v>
      </c>
      <c r="E86" s="37" t="s">
        <v>110</v>
      </c>
      <c r="F86" s="12" t="s">
        <v>209</v>
      </c>
      <c r="G86" s="12" t="s">
        <v>122</v>
      </c>
      <c r="H86" s="21">
        <v>30</v>
      </c>
      <c r="I86" s="12" t="s">
        <v>50</v>
      </c>
      <c r="J86" s="12" t="str">
        <f t="shared" si="10"/>
        <v>п60</v>
      </c>
      <c r="K86" s="19" t="s">
        <v>51</v>
      </c>
    </row>
    <row r="87" spans="1:11" ht="30" x14ac:dyDescent="0.25">
      <c r="A87" s="13">
        <v>61</v>
      </c>
      <c r="B87" s="20" t="s">
        <v>53</v>
      </c>
      <c r="C87" s="12" t="s">
        <v>49</v>
      </c>
      <c r="D87" s="17">
        <v>0.86</v>
      </c>
      <c r="E87" s="37" t="s">
        <v>111</v>
      </c>
      <c r="F87" s="12" t="s">
        <v>209</v>
      </c>
      <c r="G87" s="12" t="s">
        <v>122</v>
      </c>
      <c r="H87" s="21">
        <v>30</v>
      </c>
      <c r="I87" s="12" t="s">
        <v>50</v>
      </c>
      <c r="J87" s="12" t="str">
        <f t="shared" si="10"/>
        <v>п61</v>
      </c>
      <c r="K87" s="19" t="s">
        <v>51</v>
      </c>
    </row>
    <row r="88" spans="1:11" ht="30" x14ac:dyDescent="0.25">
      <c r="A88" s="13">
        <v>62</v>
      </c>
      <c r="B88" s="20" t="s">
        <v>54</v>
      </c>
      <c r="C88" s="12" t="s">
        <v>65</v>
      </c>
      <c r="D88" s="17">
        <v>212.56</v>
      </c>
      <c r="E88" s="24"/>
      <c r="F88" s="12" t="s">
        <v>209</v>
      </c>
      <c r="G88" s="12" t="s">
        <v>122</v>
      </c>
      <c r="H88" s="21">
        <v>30</v>
      </c>
      <c r="I88" s="19"/>
      <c r="J88" s="12" t="str">
        <f t="shared" si="10"/>
        <v>п62</v>
      </c>
      <c r="K88" s="19" t="s">
        <v>27</v>
      </c>
    </row>
    <row r="89" spans="1:11" x14ac:dyDescent="0.25">
      <c r="A89" s="117" t="s">
        <v>78</v>
      </c>
      <c r="B89" s="118"/>
      <c r="C89" s="118"/>
      <c r="D89" s="118"/>
      <c r="E89" s="118"/>
      <c r="F89" s="118"/>
      <c r="G89" s="118"/>
      <c r="H89" s="118"/>
      <c r="I89" s="119"/>
      <c r="J89" s="25"/>
      <c r="K89" s="26"/>
    </row>
    <row r="90" spans="1:11" ht="30" x14ac:dyDescent="0.25">
      <c r="A90" s="13">
        <v>63</v>
      </c>
      <c r="B90" s="27" t="s">
        <v>67</v>
      </c>
      <c r="C90" s="10" t="s">
        <v>66</v>
      </c>
      <c r="D90" s="28">
        <v>1.75</v>
      </c>
      <c r="E90" s="27" t="s">
        <v>112</v>
      </c>
      <c r="F90" s="12" t="s">
        <v>209</v>
      </c>
      <c r="G90" s="12" t="s">
        <v>122</v>
      </c>
      <c r="H90" s="21">
        <v>30</v>
      </c>
      <c r="I90" s="13"/>
      <c r="J90" s="12" t="str">
        <f t="shared" ref="J90:J99" si="11">IF(NOT(EXACT(LOWER(A90),UPPER(A90))),"",IF(A90&gt;0,"п"&amp;A90,""))</f>
        <v>п63</v>
      </c>
      <c r="K90" s="12" t="s">
        <v>27</v>
      </c>
    </row>
    <row r="91" spans="1:11" ht="45" x14ac:dyDescent="0.25">
      <c r="A91" s="13">
        <v>64</v>
      </c>
      <c r="B91" s="96" t="s">
        <v>211</v>
      </c>
      <c r="C91" s="10" t="s">
        <v>66</v>
      </c>
      <c r="D91" s="97">
        <v>2.21</v>
      </c>
      <c r="E91" s="96" t="s">
        <v>213</v>
      </c>
      <c r="F91" s="12" t="s">
        <v>209</v>
      </c>
      <c r="G91" s="12" t="s">
        <v>122</v>
      </c>
      <c r="H91" s="21">
        <v>30</v>
      </c>
      <c r="I91" s="98" t="s">
        <v>212</v>
      </c>
      <c r="J91" s="12" t="str">
        <f t="shared" si="11"/>
        <v>п64</v>
      </c>
      <c r="K91" s="12" t="s">
        <v>51</v>
      </c>
    </row>
    <row r="92" spans="1:11" ht="30" x14ac:dyDescent="0.25">
      <c r="A92" s="13">
        <v>65</v>
      </c>
      <c r="B92" s="27" t="s">
        <v>68</v>
      </c>
      <c r="C92" s="10" t="s">
        <v>65</v>
      </c>
      <c r="D92" s="28">
        <v>11.66</v>
      </c>
      <c r="E92" s="27"/>
      <c r="F92" s="12" t="s">
        <v>209</v>
      </c>
      <c r="G92" s="12" t="s">
        <v>122</v>
      </c>
      <c r="H92" s="21">
        <v>30</v>
      </c>
      <c r="I92" s="13"/>
      <c r="J92" s="12" t="str">
        <f t="shared" si="11"/>
        <v>п65</v>
      </c>
      <c r="K92" s="12" t="s">
        <v>27</v>
      </c>
    </row>
    <row r="93" spans="1:11" ht="45" x14ac:dyDescent="0.25">
      <c r="A93" s="13">
        <v>66</v>
      </c>
      <c r="B93" s="27" t="s">
        <v>79</v>
      </c>
      <c r="C93" s="10" t="s">
        <v>65</v>
      </c>
      <c r="D93" s="28">
        <v>13.06</v>
      </c>
      <c r="E93" s="27" t="s">
        <v>113</v>
      </c>
      <c r="F93" s="12" t="s">
        <v>209</v>
      </c>
      <c r="G93" s="12" t="s">
        <v>122</v>
      </c>
      <c r="H93" s="21">
        <v>30</v>
      </c>
      <c r="I93" s="13" t="s">
        <v>73</v>
      </c>
      <c r="J93" s="12" t="str">
        <f t="shared" si="11"/>
        <v>п66</v>
      </c>
      <c r="K93" s="12" t="s">
        <v>51</v>
      </c>
    </row>
    <row r="94" spans="1:11" ht="30" x14ac:dyDescent="0.25">
      <c r="A94" s="13">
        <v>67</v>
      </c>
      <c r="B94" s="9" t="s">
        <v>81</v>
      </c>
      <c r="C94" s="10" t="s">
        <v>65</v>
      </c>
      <c r="D94" s="28">
        <v>11.66</v>
      </c>
      <c r="E94" s="27"/>
      <c r="F94" s="12" t="s">
        <v>209</v>
      </c>
      <c r="G94" s="12" t="s">
        <v>122</v>
      </c>
      <c r="H94" s="21">
        <v>30</v>
      </c>
      <c r="I94" s="13"/>
      <c r="J94" s="12" t="str">
        <f t="shared" si="11"/>
        <v>п67</v>
      </c>
      <c r="K94" s="12" t="s">
        <v>27</v>
      </c>
    </row>
    <row r="95" spans="1:11" ht="45" x14ac:dyDescent="0.25">
      <c r="A95" s="13">
        <v>68</v>
      </c>
      <c r="B95" s="44" t="s">
        <v>80</v>
      </c>
      <c r="C95" s="10" t="s">
        <v>66</v>
      </c>
      <c r="D95" s="28">
        <v>2.42</v>
      </c>
      <c r="E95" s="27" t="s">
        <v>114</v>
      </c>
      <c r="F95" s="12" t="s">
        <v>209</v>
      </c>
      <c r="G95" s="12" t="s">
        <v>122</v>
      </c>
      <c r="H95" s="21">
        <v>30</v>
      </c>
      <c r="I95" s="13" t="s">
        <v>74</v>
      </c>
      <c r="J95" s="12" t="str">
        <f t="shared" si="11"/>
        <v>п68</v>
      </c>
      <c r="K95" s="12" t="s">
        <v>51</v>
      </c>
    </row>
    <row r="96" spans="1:11" ht="30" x14ac:dyDescent="0.25">
      <c r="A96" s="13">
        <v>69</v>
      </c>
      <c r="B96" s="45" t="s">
        <v>82</v>
      </c>
      <c r="C96" s="10" t="s">
        <v>36</v>
      </c>
      <c r="D96" s="28">
        <v>8.0000000000000002E-3</v>
      </c>
      <c r="E96" s="27" t="s">
        <v>115</v>
      </c>
      <c r="F96" s="12" t="s">
        <v>209</v>
      </c>
      <c r="G96" s="12" t="s">
        <v>122</v>
      </c>
      <c r="H96" s="21">
        <v>30</v>
      </c>
      <c r="I96" s="13" t="s">
        <v>75</v>
      </c>
      <c r="J96" s="12" t="str">
        <f t="shared" si="11"/>
        <v>п69</v>
      </c>
      <c r="K96" s="12"/>
    </row>
    <row r="97" spans="1:11" ht="30" x14ac:dyDescent="0.25">
      <c r="A97" s="13">
        <v>70</v>
      </c>
      <c r="B97" s="46" t="s">
        <v>216</v>
      </c>
      <c r="C97" s="10" t="s">
        <v>36</v>
      </c>
      <c r="D97" s="28">
        <v>0.01</v>
      </c>
      <c r="E97" s="27" t="s">
        <v>90</v>
      </c>
      <c r="F97" s="12" t="s">
        <v>209</v>
      </c>
      <c r="G97" s="12" t="s">
        <v>122</v>
      </c>
      <c r="H97" s="21">
        <v>30</v>
      </c>
      <c r="I97" s="13" t="s">
        <v>70</v>
      </c>
      <c r="J97" s="12" t="str">
        <f t="shared" si="11"/>
        <v>п70</v>
      </c>
      <c r="K97" s="12"/>
    </row>
    <row r="98" spans="1:11" ht="30" x14ac:dyDescent="0.25">
      <c r="A98" s="13">
        <v>71</v>
      </c>
      <c r="B98" s="47" t="s">
        <v>69</v>
      </c>
      <c r="C98" s="10" t="s">
        <v>65</v>
      </c>
      <c r="D98" s="28">
        <v>11.66</v>
      </c>
      <c r="E98" s="27"/>
      <c r="F98" s="12" t="s">
        <v>209</v>
      </c>
      <c r="G98" s="12" t="s">
        <v>122</v>
      </c>
      <c r="H98" s="21">
        <v>30</v>
      </c>
      <c r="I98" s="10"/>
      <c r="J98" s="12" t="str">
        <f t="shared" si="11"/>
        <v>п71</v>
      </c>
      <c r="K98" s="12" t="s">
        <v>27</v>
      </c>
    </row>
    <row r="99" spans="1:11" ht="45" x14ac:dyDescent="0.25">
      <c r="A99" s="13">
        <v>72</v>
      </c>
      <c r="B99" s="52" t="s">
        <v>215</v>
      </c>
      <c r="C99" s="10" t="s">
        <v>36</v>
      </c>
      <c r="D99" s="11">
        <v>1.46</v>
      </c>
      <c r="E99" s="27" t="s">
        <v>116</v>
      </c>
      <c r="F99" s="12" t="s">
        <v>209</v>
      </c>
      <c r="G99" s="12" t="s">
        <v>122</v>
      </c>
      <c r="H99" s="21">
        <v>30</v>
      </c>
      <c r="I99" s="13"/>
      <c r="J99" s="12" t="str">
        <f t="shared" si="11"/>
        <v>п72</v>
      </c>
      <c r="K99" s="12" t="s">
        <v>51</v>
      </c>
    </row>
    <row r="100" spans="1:11" x14ac:dyDescent="0.25">
      <c r="A100" s="114" t="s">
        <v>85</v>
      </c>
      <c r="B100" s="115"/>
      <c r="C100" s="115"/>
      <c r="D100" s="115"/>
      <c r="E100" s="115"/>
      <c r="F100" s="115"/>
      <c r="G100" s="115"/>
      <c r="H100" s="115"/>
      <c r="I100" s="116"/>
      <c r="J100" s="25"/>
      <c r="K100" s="26"/>
    </row>
    <row r="101" spans="1:11" ht="30" x14ac:dyDescent="0.25">
      <c r="A101" s="13">
        <v>73</v>
      </c>
      <c r="B101" s="46" t="s">
        <v>86</v>
      </c>
      <c r="C101" s="48" t="s">
        <v>87</v>
      </c>
      <c r="D101" s="28">
        <v>49.25</v>
      </c>
      <c r="E101" s="27"/>
      <c r="F101" s="12" t="s">
        <v>209</v>
      </c>
      <c r="G101" s="12" t="s">
        <v>122</v>
      </c>
      <c r="H101" s="21">
        <v>30</v>
      </c>
      <c r="I101" s="13"/>
      <c r="J101" s="12" t="str">
        <f t="shared" ref="J101:J109" si="12">IF(NOT(EXACT(LOWER(A101),UPPER(A101))),"",IF(A101&gt;0,"п"&amp;A101,""))</f>
        <v>п73</v>
      </c>
      <c r="K101" s="12" t="s">
        <v>27</v>
      </c>
    </row>
    <row r="102" spans="1:11" ht="45" x14ac:dyDescent="0.25">
      <c r="A102" s="13">
        <v>74</v>
      </c>
      <c r="B102" s="52" t="s">
        <v>211</v>
      </c>
      <c r="C102" s="48" t="s">
        <v>88</v>
      </c>
      <c r="D102" s="99">
        <v>6.22</v>
      </c>
      <c r="E102" s="96" t="s">
        <v>217</v>
      </c>
      <c r="F102" s="12" t="s">
        <v>209</v>
      </c>
      <c r="G102" s="12" t="s">
        <v>122</v>
      </c>
      <c r="H102" s="21">
        <v>30</v>
      </c>
      <c r="I102" s="98" t="s">
        <v>212</v>
      </c>
      <c r="J102" s="12" t="str">
        <f t="shared" si="12"/>
        <v>п74</v>
      </c>
      <c r="K102" s="12" t="s">
        <v>51</v>
      </c>
    </row>
    <row r="103" spans="1:11" ht="30" x14ac:dyDescent="0.25">
      <c r="A103" s="13">
        <v>75</v>
      </c>
      <c r="B103" s="52" t="s">
        <v>123</v>
      </c>
      <c r="C103" s="48" t="s">
        <v>87</v>
      </c>
      <c r="D103" s="28">
        <v>49.25</v>
      </c>
      <c r="E103" s="27"/>
      <c r="F103" s="12" t="s">
        <v>209</v>
      </c>
      <c r="G103" s="12" t="s">
        <v>122</v>
      </c>
      <c r="H103" s="21">
        <v>30</v>
      </c>
      <c r="I103" s="13"/>
      <c r="J103" s="12" t="str">
        <f t="shared" si="12"/>
        <v>п75</v>
      </c>
      <c r="K103" s="12" t="s">
        <v>51</v>
      </c>
    </row>
    <row r="104" spans="1:11" ht="30" x14ac:dyDescent="0.25">
      <c r="A104" s="13">
        <v>76</v>
      </c>
      <c r="B104" s="52" t="s">
        <v>124</v>
      </c>
      <c r="C104" s="48" t="s">
        <v>87</v>
      </c>
      <c r="D104" s="28">
        <v>49.25</v>
      </c>
      <c r="E104" s="27"/>
      <c r="F104" s="12" t="s">
        <v>209</v>
      </c>
      <c r="G104" s="12" t="s">
        <v>122</v>
      </c>
      <c r="H104" s="21">
        <v>30</v>
      </c>
      <c r="I104" s="13"/>
      <c r="J104" s="12" t="str">
        <f t="shared" si="12"/>
        <v>п76</v>
      </c>
      <c r="K104" s="12" t="s">
        <v>51</v>
      </c>
    </row>
    <row r="105" spans="1:11" ht="45" x14ac:dyDescent="0.25">
      <c r="A105" s="13">
        <v>77</v>
      </c>
      <c r="B105" s="46" t="s">
        <v>205</v>
      </c>
      <c r="C105" s="48" t="s">
        <v>88</v>
      </c>
      <c r="D105" s="10">
        <v>6.4</v>
      </c>
      <c r="E105" s="27" t="s">
        <v>117</v>
      </c>
      <c r="F105" s="12" t="s">
        <v>209</v>
      </c>
      <c r="G105" s="12" t="s">
        <v>122</v>
      </c>
      <c r="H105" s="21">
        <v>30</v>
      </c>
      <c r="I105" s="13" t="s">
        <v>74</v>
      </c>
      <c r="J105" s="12" t="str">
        <f t="shared" ref="J105" si="13">IF(NOT(EXACT(LOWER(A105),UPPER(A105))),"",IF(A105&gt;0,"п"&amp;A105,""))</f>
        <v>п77</v>
      </c>
      <c r="K105" s="12" t="s">
        <v>51</v>
      </c>
    </row>
    <row r="106" spans="1:11" ht="30" x14ac:dyDescent="0.25">
      <c r="A106" s="13">
        <v>78</v>
      </c>
      <c r="B106" s="46" t="s">
        <v>82</v>
      </c>
      <c r="C106" s="48" t="s">
        <v>36</v>
      </c>
      <c r="D106" s="28">
        <v>0.03</v>
      </c>
      <c r="E106" s="27" t="s">
        <v>118</v>
      </c>
      <c r="F106" s="12" t="s">
        <v>209</v>
      </c>
      <c r="G106" s="12" t="s">
        <v>122</v>
      </c>
      <c r="H106" s="21">
        <v>30</v>
      </c>
      <c r="I106" s="13" t="s">
        <v>89</v>
      </c>
      <c r="J106" s="12" t="str">
        <f t="shared" si="12"/>
        <v>п78</v>
      </c>
      <c r="K106" s="12" t="s">
        <v>27</v>
      </c>
    </row>
    <row r="107" spans="1:11" ht="30" x14ac:dyDescent="0.25">
      <c r="A107" s="13">
        <v>79</v>
      </c>
      <c r="B107" s="46" t="s">
        <v>216</v>
      </c>
      <c r="C107" s="48" t="s">
        <v>36</v>
      </c>
      <c r="D107" s="10">
        <v>0.03</v>
      </c>
      <c r="E107" s="27" t="s">
        <v>119</v>
      </c>
      <c r="F107" s="12" t="s">
        <v>209</v>
      </c>
      <c r="G107" s="12" t="s">
        <v>122</v>
      </c>
      <c r="H107" s="21">
        <v>30</v>
      </c>
      <c r="I107" s="13" t="s">
        <v>70</v>
      </c>
      <c r="J107" s="12" t="str">
        <f t="shared" si="12"/>
        <v>п79</v>
      </c>
      <c r="K107" s="12" t="s">
        <v>51</v>
      </c>
    </row>
    <row r="108" spans="1:11" ht="30" x14ac:dyDescent="0.25">
      <c r="A108" s="13">
        <v>80</v>
      </c>
      <c r="B108" s="46" t="s">
        <v>69</v>
      </c>
      <c r="C108" s="48" t="s">
        <v>87</v>
      </c>
      <c r="D108" s="28">
        <v>49.25</v>
      </c>
      <c r="E108" s="27"/>
      <c r="F108" s="12" t="s">
        <v>209</v>
      </c>
      <c r="G108" s="12" t="s">
        <v>122</v>
      </c>
      <c r="H108" s="21">
        <v>30</v>
      </c>
      <c r="I108" s="13"/>
      <c r="J108" s="12" t="str">
        <f t="shared" si="12"/>
        <v>п80</v>
      </c>
      <c r="K108" s="12" t="s">
        <v>27</v>
      </c>
    </row>
    <row r="109" spans="1:11" ht="45" x14ac:dyDescent="0.25">
      <c r="A109" s="13">
        <v>81</v>
      </c>
      <c r="B109" s="52" t="s">
        <v>215</v>
      </c>
      <c r="C109" s="48" t="s">
        <v>36</v>
      </c>
      <c r="D109" s="28">
        <v>6.18</v>
      </c>
      <c r="E109" s="27" t="s">
        <v>120</v>
      </c>
      <c r="F109" s="12" t="s">
        <v>209</v>
      </c>
      <c r="G109" s="12" t="s">
        <v>122</v>
      </c>
      <c r="H109" s="21">
        <v>30</v>
      </c>
      <c r="I109" s="13"/>
      <c r="J109" s="12" t="str">
        <f t="shared" si="12"/>
        <v>п81</v>
      </c>
      <c r="K109" s="12" t="s">
        <v>51</v>
      </c>
    </row>
    <row r="110" spans="1:11" x14ac:dyDescent="0.25">
      <c r="A110" s="113" t="s">
        <v>76</v>
      </c>
      <c r="B110" s="113"/>
      <c r="C110" s="113"/>
      <c r="D110" s="113"/>
      <c r="E110" s="113"/>
      <c r="F110" s="113"/>
      <c r="G110" s="113"/>
      <c r="H110" s="113"/>
      <c r="I110" s="113"/>
      <c r="J110" s="5"/>
      <c r="K110" s="7"/>
    </row>
    <row r="111" spans="1:11" ht="30" x14ac:dyDescent="0.25">
      <c r="A111" s="13">
        <v>82</v>
      </c>
      <c r="B111" s="53" t="s">
        <v>56</v>
      </c>
      <c r="C111" s="10" t="s">
        <v>127</v>
      </c>
      <c r="D111" s="11">
        <v>14.71</v>
      </c>
      <c r="E111" s="54" t="s">
        <v>128</v>
      </c>
      <c r="F111" s="12" t="s">
        <v>209</v>
      </c>
      <c r="G111" s="12" t="s">
        <v>122</v>
      </c>
      <c r="H111" s="21">
        <v>30</v>
      </c>
      <c r="I111" s="13" t="s">
        <v>57</v>
      </c>
      <c r="J111" s="12" t="str">
        <f t="shared" ref="J111:J115" si="14">IF(NOT(EXACT(LOWER(A111),UPPER(A111))),"",IF(A111&gt;0,"п"&amp;A111,""))</f>
        <v>п82</v>
      </c>
      <c r="K111" s="12" t="s">
        <v>27</v>
      </c>
    </row>
    <row r="112" spans="1:11" ht="45" x14ac:dyDescent="0.25">
      <c r="A112" s="13">
        <v>83</v>
      </c>
      <c r="B112" s="31" t="s">
        <v>58</v>
      </c>
      <c r="C112" s="10" t="s">
        <v>66</v>
      </c>
      <c r="D112" s="11">
        <v>2.34</v>
      </c>
      <c r="E112" s="30" t="s">
        <v>126</v>
      </c>
      <c r="F112" s="12" t="s">
        <v>209</v>
      </c>
      <c r="G112" s="12" t="s">
        <v>122</v>
      </c>
      <c r="H112" s="21">
        <v>30</v>
      </c>
      <c r="I112" s="10" t="s">
        <v>59</v>
      </c>
      <c r="J112" s="12" t="str">
        <f t="shared" si="14"/>
        <v>п83</v>
      </c>
      <c r="K112" s="12" t="s">
        <v>51</v>
      </c>
    </row>
    <row r="113" spans="1:11" ht="90" x14ac:dyDescent="0.25">
      <c r="A113" s="13">
        <v>84</v>
      </c>
      <c r="B113" s="31" t="s">
        <v>60</v>
      </c>
      <c r="C113" s="8" t="s">
        <v>61</v>
      </c>
      <c r="D113" s="11">
        <v>52.55</v>
      </c>
      <c r="E113" s="38"/>
      <c r="F113" s="12" t="s">
        <v>209</v>
      </c>
      <c r="G113" s="12" t="s">
        <v>122</v>
      </c>
      <c r="H113" s="21">
        <v>30</v>
      </c>
      <c r="I113" s="29"/>
      <c r="J113" s="12" t="str">
        <f t="shared" si="14"/>
        <v>п84</v>
      </c>
      <c r="K113" s="12" t="s">
        <v>27</v>
      </c>
    </row>
    <row r="114" spans="1:11" ht="30" x14ac:dyDescent="0.25">
      <c r="A114" s="13">
        <v>85</v>
      </c>
      <c r="B114" s="31" t="s">
        <v>62</v>
      </c>
      <c r="C114" s="10" t="s">
        <v>66</v>
      </c>
      <c r="D114" s="11">
        <v>2.57</v>
      </c>
      <c r="E114" s="30" t="s">
        <v>121</v>
      </c>
      <c r="F114" s="12" t="s">
        <v>209</v>
      </c>
      <c r="G114" s="12" t="s">
        <v>122</v>
      </c>
      <c r="H114" s="21">
        <v>30</v>
      </c>
      <c r="I114" s="13" t="s">
        <v>63</v>
      </c>
      <c r="J114" s="12" t="str">
        <f t="shared" si="14"/>
        <v>п85</v>
      </c>
      <c r="K114" s="12" t="s">
        <v>51</v>
      </c>
    </row>
    <row r="115" spans="1:11" ht="60" x14ac:dyDescent="0.25">
      <c r="A115" s="13">
        <v>86</v>
      </c>
      <c r="B115" s="53" t="s">
        <v>64</v>
      </c>
      <c r="C115" s="10" t="s">
        <v>125</v>
      </c>
      <c r="D115" s="11">
        <v>52.55</v>
      </c>
      <c r="E115" s="30"/>
      <c r="F115" s="12" t="s">
        <v>209</v>
      </c>
      <c r="G115" s="12" t="s">
        <v>122</v>
      </c>
      <c r="H115" s="21">
        <v>30</v>
      </c>
      <c r="I115" s="13"/>
      <c r="J115" s="12" t="str">
        <f t="shared" si="14"/>
        <v>п86</v>
      </c>
      <c r="K115" s="12" t="s">
        <v>51</v>
      </c>
    </row>
    <row r="116" spans="1:11" x14ac:dyDescent="0.25">
      <c r="A116" s="55"/>
      <c r="B116" s="56"/>
      <c r="C116" s="56"/>
      <c r="D116" s="56"/>
      <c r="E116" s="56"/>
      <c r="F116" s="57" t="s">
        <v>130</v>
      </c>
      <c r="G116" s="58"/>
      <c r="H116" s="58"/>
      <c r="I116" s="59"/>
      <c r="J116" s="60"/>
      <c r="K116" s="60"/>
    </row>
    <row r="117" spans="1:11" x14ac:dyDescent="0.25">
      <c r="A117" s="110" t="s">
        <v>33</v>
      </c>
      <c r="B117" s="111"/>
      <c r="C117" s="111"/>
      <c r="D117" s="111"/>
      <c r="E117" s="111"/>
      <c r="F117" s="111"/>
      <c r="G117" s="111"/>
      <c r="H117" s="111"/>
      <c r="I117" s="112"/>
      <c r="J117" s="60"/>
      <c r="K117" s="61"/>
    </row>
    <row r="118" spans="1:11" ht="45" x14ac:dyDescent="0.25">
      <c r="A118" s="62">
        <v>87</v>
      </c>
      <c r="B118" s="63" t="s">
        <v>34</v>
      </c>
      <c r="C118" s="64" t="s">
        <v>66</v>
      </c>
      <c r="D118" s="65">
        <v>1378</v>
      </c>
      <c r="E118" s="66"/>
      <c r="F118" s="12" t="s">
        <v>209</v>
      </c>
      <c r="G118" s="67" t="s">
        <v>122</v>
      </c>
      <c r="H118" s="68">
        <v>31</v>
      </c>
      <c r="I118" s="64"/>
      <c r="J118" s="12" t="str">
        <f t="shared" ref="J118:J181" si="15">IF(NOT(EXACT(LOWER(A118),UPPER(A118))),"",IF(A118&gt;0,"п"&amp;A118,""))</f>
        <v>п87</v>
      </c>
      <c r="K118" s="67" t="s">
        <v>27</v>
      </c>
    </row>
    <row r="119" spans="1:11" ht="45" x14ac:dyDescent="0.25">
      <c r="A119" s="62">
        <v>88</v>
      </c>
      <c r="B119" s="63" t="s">
        <v>35</v>
      </c>
      <c r="C119" s="62" t="s">
        <v>36</v>
      </c>
      <c r="D119" s="65">
        <v>2673.32</v>
      </c>
      <c r="E119" s="69" t="s">
        <v>207</v>
      </c>
      <c r="F119" s="12" t="s">
        <v>209</v>
      </c>
      <c r="G119" s="67" t="s">
        <v>122</v>
      </c>
      <c r="H119" s="68">
        <v>31</v>
      </c>
      <c r="I119" s="64" t="s">
        <v>37</v>
      </c>
      <c r="J119" s="12" t="str">
        <f t="shared" si="15"/>
        <v>п88</v>
      </c>
      <c r="K119" s="67" t="s">
        <v>38</v>
      </c>
    </row>
    <row r="120" spans="1:11" ht="30" x14ac:dyDescent="0.25">
      <c r="A120" s="62">
        <v>89</v>
      </c>
      <c r="B120" s="94" t="s">
        <v>202</v>
      </c>
      <c r="C120" s="64" t="s">
        <v>66</v>
      </c>
      <c r="D120" s="65">
        <v>722</v>
      </c>
      <c r="E120" s="69"/>
      <c r="F120" s="12" t="s">
        <v>209</v>
      </c>
      <c r="G120" s="67" t="s">
        <v>122</v>
      </c>
      <c r="H120" s="68">
        <v>31</v>
      </c>
      <c r="I120" s="64"/>
      <c r="J120" s="12" t="str">
        <f t="shared" si="15"/>
        <v>п89</v>
      </c>
      <c r="K120" s="12" t="s">
        <v>204</v>
      </c>
    </row>
    <row r="121" spans="1:11" ht="45" x14ac:dyDescent="0.25">
      <c r="A121" s="62">
        <v>90</v>
      </c>
      <c r="B121" s="94" t="s">
        <v>203</v>
      </c>
      <c r="C121" s="62" t="s">
        <v>36</v>
      </c>
      <c r="D121" s="65">
        <v>1400.68</v>
      </c>
      <c r="E121" s="69" t="s">
        <v>201</v>
      </c>
      <c r="F121" s="12" t="s">
        <v>209</v>
      </c>
      <c r="G121" s="67" t="s">
        <v>122</v>
      </c>
      <c r="H121" s="68">
        <v>31</v>
      </c>
      <c r="I121" s="64" t="s">
        <v>37</v>
      </c>
      <c r="J121" s="12" t="str">
        <f t="shared" si="15"/>
        <v>п90</v>
      </c>
      <c r="K121" s="67" t="s">
        <v>38</v>
      </c>
    </row>
    <row r="122" spans="1:11" ht="30" x14ac:dyDescent="0.25">
      <c r="A122" s="62">
        <v>91</v>
      </c>
      <c r="B122" s="63" t="s">
        <v>39</v>
      </c>
      <c r="C122" s="64" t="s">
        <v>66</v>
      </c>
      <c r="D122" s="65">
        <v>2100</v>
      </c>
      <c r="E122" s="66"/>
      <c r="F122" s="12" t="s">
        <v>209</v>
      </c>
      <c r="G122" s="67" t="s">
        <v>122</v>
      </c>
      <c r="H122" s="68">
        <v>31</v>
      </c>
      <c r="I122" s="64"/>
      <c r="J122" s="12" t="str">
        <f t="shared" si="15"/>
        <v>п91</v>
      </c>
      <c r="K122" s="67" t="s">
        <v>27</v>
      </c>
    </row>
    <row r="123" spans="1:11" ht="60" x14ac:dyDescent="0.25">
      <c r="A123" s="62">
        <v>92</v>
      </c>
      <c r="B123" s="63" t="s">
        <v>40</v>
      </c>
      <c r="C123" s="64" t="s">
        <v>66</v>
      </c>
      <c r="D123" s="65">
        <v>2100</v>
      </c>
      <c r="E123" s="66"/>
      <c r="F123" s="12" t="s">
        <v>209</v>
      </c>
      <c r="G123" s="67" t="s">
        <v>122</v>
      </c>
      <c r="H123" s="68">
        <v>31</v>
      </c>
      <c r="I123" s="64"/>
      <c r="J123" s="12" t="str">
        <f t="shared" si="15"/>
        <v>п92</v>
      </c>
      <c r="K123" s="67" t="s">
        <v>27</v>
      </c>
    </row>
    <row r="124" spans="1:11" ht="30" x14ac:dyDescent="0.25">
      <c r="A124" s="62">
        <v>93</v>
      </c>
      <c r="B124" s="63" t="s">
        <v>41</v>
      </c>
      <c r="C124" s="64" t="s">
        <v>66</v>
      </c>
      <c r="D124" s="65">
        <v>630</v>
      </c>
      <c r="E124" s="69" t="s">
        <v>131</v>
      </c>
      <c r="F124" s="12" t="s">
        <v>209</v>
      </c>
      <c r="G124" s="67" t="s">
        <v>122</v>
      </c>
      <c r="H124" s="68">
        <v>31</v>
      </c>
      <c r="I124" s="64" t="s">
        <v>42</v>
      </c>
      <c r="J124" s="12" t="str">
        <f t="shared" si="15"/>
        <v>п93</v>
      </c>
      <c r="K124" s="67" t="s">
        <v>27</v>
      </c>
    </row>
    <row r="125" spans="1:11" x14ac:dyDescent="0.25">
      <c r="A125" s="110" t="s">
        <v>43</v>
      </c>
      <c r="B125" s="111"/>
      <c r="C125" s="111"/>
      <c r="D125" s="111"/>
      <c r="E125" s="111"/>
      <c r="F125" s="111"/>
      <c r="G125" s="111"/>
      <c r="H125" s="111"/>
      <c r="I125" s="112"/>
      <c r="J125" s="70"/>
      <c r="K125" s="71"/>
    </row>
    <row r="126" spans="1:11" ht="75" x14ac:dyDescent="0.25">
      <c r="A126" s="68">
        <v>94</v>
      </c>
      <c r="B126" s="72" t="s">
        <v>44</v>
      </c>
      <c r="C126" s="67" t="s">
        <v>66</v>
      </c>
      <c r="D126" s="73">
        <v>681</v>
      </c>
      <c r="E126" s="74"/>
      <c r="F126" s="12" t="s">
        <v>209</v>
      </c>
      <c r="G126" s="67" t="s">
        <v>122</v>
      </c>
      <c r="H126" s="77">
        <v>31</v>
      </c>
      <c r="I126" s="75"/>
      <c r="J126" s="12" t="str">
        <f t="shared" si="15"/>
        <v>п94</v>
      </c>
      <c r="K126" s="75" t="s">
        <v>27</v>
      </c>
    </row>
    <row r="127" spans="1:11" ht="30" x14ac:dyDescent="0.25">
      <c r="A127" s="68">
        <v>95</v>
      </c>
      <c r="B127" s="76" t="s">
        <v>45</v>
      </c>
      <c r="C127" s="67" t="s">
        <v>36</v>
      </c>
      <c r="D127" s="73">
        <v>343.2</v>
      </c>
      <c r="E127" s="69" t="s">
        <v>132</v>
      </c>
      <c r="F127" s="12" t="s">
        <v>209</v>
      </c>
      <c r="G127" s="67" t="s">
        <v>122</v>
      </c>
      <c r="H127" s="77">
        <v>31</v>
      </c>
      <c r="I127" s="67" t="s">
        <v>46</v>
      </c>
      <c r="J127" s="12" t="str">
        <f t="shared" si="15"/>
        <v>п95</v>
      </c>
      <c r="K127" s="75" t="s">
        <v>38</v>
      </c>
    </row>
    <row r="128" spans="1:11" ht="45" x14ac:dyDescent="0.25">
      <c r="A128" s="68">
        <v>96</v>
      </c>
      <c r="B128" s="76" t="s">
        <v>47</v>
      </c>
      <c r="C128" s="67" t="s">
        <v>65</v>
      </c>
      <c r="D128" s="73">
        <v>4023.5</v>
      </c>
      <c r="E128" s="74"/>
      <c r="F128" s="12" t="s">
        <v>209</v>
      </c>
      <c r="G128" s="67" t="s">
        <v>122</v>
      </c>
      <c r="H128" s="77">
        <v>31</v>
      </c>
      <c r="I128" s="75"/>
      <c r="J128" s="12" t="str">
        <f t="shared" si="15"/>
        <v>п96</v>
      </c>
      <c r="K128" s="75" t="s">
        <v>27</v>
      </c>
    </row>
    <row r="129" spans="1:11" ht="30" x14ac:dyDescent="0.25">
      <c r="A129" s="68">
        <v>97</v>
      </c>
      <c r="B129" s="76" t="s">
        <v>48</v>
      </c>
      <c r="C129" s="67" t="s">
        <v>49</v>
      </c>
      <c r="D129" s="73">
        <v>38.020000000000003</v>
      </c>
      <c r="E129" s="69" t="s">
        <v>133</v>
      </c>
      <c r="F129" s="12" t="s">
        <v>209</v>
      </c>
      <c r="G129" s="67" t="s">
        <v>122</v>
      </c>
      <c r="H129" s="77">
        <v>31</v>
      </c>
      <c r="I129" s="67" t="s">
        <v>50</v>
      </c>
      <c r="J129" s="12" t="str">
        <f t="shared" si="15"/>
        <v>п97</v>
      </c>
      <c r="K129" s="75" t="s">
        <v>51</v>
      </c>
    </row>
    <row r="130" spans="1:11" ht="30" x14ac:dyDescent="0.25">
      <c r="A130" s="68">
        <v>98</v>
      </c>
      <c r="B130" s="76" t="s">
        <v>52</v>
      </c>
      <c r="C130" s="67" t="s">
        <v>49</v>
      </c>
      <c r="D130" s="73">
        <v>54.32</v>
      </c>
      <c r="E130" s="69" t="s">
        <v>134</v>
      </c>
      <c r="F130" s="12" t="s">
        <v>209</v>
      </c>
      <c r="G130" s="67" t="s">
        <v>122</v>
      </c>
      <c r="H130" s="77">
        <v>31</v>
      </c>
      <c r="I130" s="67" t="s">
        <v>50</v>
      </c>
      <c r="J130" s="12" t="str">
        <f t="shared" si="15"/>
        <v>п98</v>
      </c>
      <c r="K130" s="75" t="s">
        <v>51</v>
      </c>
    </row>
    <row r="131" spans="1:11" ht="30" x14ac:dyDescent="0.25">
      <c r="A131" s="68">
        <v>99</v>
      </c>
      <c r="B131" s="76" t="s">
        <v>53</v>
      </c>
      <c r="C131" s="67" t="s">
        <v>49</v>
      </c>
      <c r="D131" s="73">
        <v>16.29</v>
      </c>
      <c r="E131" s="69" t="s">
        <v>135</v>
      </c>
      <c r="F131" s="12" t="s">
        <v>209</v>
      </c>
      <c r="G131" s="67" t="s">
        <v>122</v>
      </c>
      <c r="H131" s="77">
        <v>31</v>
      </c>
      <c r="I131" s="67" t="s">
        <v>50</v>
      </c>
      <c r="J131" s="12" t="str">
        <f t="shared" si="15"/>
        <v>п99</v>
      </c>
      <c r="K131" s="75" t="s">
        <v>51</v>
      </c>
    </row>
    <row r="132" spans="1:11" ht="30" x14ac:dyDescent="0.25">
      <c r="A132" s="68">
        <v>100</v>
      </c>
      <c r="B132" s="76" t="s">
        <v>54</v>
      </c>
      <c r="C132" s="67" t="s">
        <v>65</v>
      </c>
      <c r="D132" s="73">
        <v>4023.5</v>
      </c>
      <c r="E132" s="74"/>
      <c r="F132" s="12" t="s">
        <v>209</v>
      </c>
      <c r="G132" s="67" t="s">
        <v>122</v>
      </c>
      <c r="H132" s="77">
        <v>31</v>
      </c>
      <c r="I132" s="75"/>
      <c r="J132" s="12" t="str">
        <f t="shared" si="15"/>
        <v>п100</v>
      </c>
      <c r="K132" s="75" t="s">
        <v>27</v>
      </c>
    </row>
    <row r="133" spans="1:11" ht="45" x14ac:dyDescent="0.25">
      <c r="A133" s="68">
        <v>101</v>
      </c>
      <c r="B133" s="76" t="s">
        <v>55</v>
      </c>
      <c r="C133" s="67" t="s">
        <v>65</v>
      </c>
      <c r="D133" s="78">
        <v>514.70000000000005</v>
      </c>
      <c r="E133" s="79"/>
      <c r="F133" s="12" t="s">
        <v>209</v>
      </c>
      <c r="G133" s="67" t="s">
        <v>122</v>
      </c>
      <c r="H133" s="77">
        <v>31</v>
      </c>
      <c r="I133" s="75"/>
      <c r="J133" s="12" t="str">
        <f t="shared" si="15"/>
        <v>п101</v>
      </c>
      <c r="K133" s="75" t="s">
        <v>27</v>
      </c>
    </row>
    <row r="134" spans="1:11" ht="30" x14ac:dyDescent="0.25">
      <c r="A134" s="68">
        <v>102</v>
      </c>
      <c r="B134" s="76" t="s">
        <v>48</v>
      </c>
      <c r="C134" s="67" t="s">
        <v>49</v>
      </c>
      <c r="D134" s="73">
        <v>4.8600000000000003</v>
      </c>
      <c r="E134" s="69" t="s">
        <v>136</v>
      </c>
      <c r="F134" s="12" t="s">
        <v>209</v>
      </c>
      <c r="G134" s="67" t="s">
        <v>122</v>
      </c>
      <c r="H134" s="77">
        <v>31</v>
      </c>
      <c r="I134" s="67" t="s">
        <v>50</v>
      </c>
      <c r="J134" s="12" t="str">
        <f t="shared" si="15"/>
        <v>п102</v>
      </c>
      <c r="K134" s="75" t="s">
        <v>51</v>
      </c>
    </row>
    <row r="135" spans="1:11" ht="30" x14ac:dyDescent="0.25">
      <c r="A135" s="68">
        <v>103</v>
      </c>
      <c r="B135" s="76" t="s">
        <v>52</v>
      </c>
      <c r="C135" s="67" t="s">
        <v>49</v>
      </c>
      <c r="D135" s="73">
        <v>6.95</v>
      </c>
      <c r="E135" s="69" t="s">
        <v>137</v>
      </c>
      <c r="F135" s="12" t="s">
        <v>209</v>
      </c>
      <c r="G135" s="67" t="s">
        <v>122</v>
      </c>
      <c r="H135" s="77">
        <v>31</v>
      </c>
      <c r="I135" s="67" t="s">
        <v>50</v>
      </c>
      <c r="J135" s="12" t="str">
        <f t="shared" si="15"/>
        <v>п103</v>
      </c>
      <c r="K135" s="75" t="s">
        <v>51</v>
      </c>
    </row>
    <row r="136" spans="1:11" ht="30" x14ac:dyDescent="0.25">
      <c r="A136" s="68">
        <v>104</v>
      </c>
      <c r="B136" s="76" t="s">
        <v>53</v>
      </c>
      <c r="C136" s="67" t="s">
        <v>49</v>
      </c>
      <c r="D136" s="73">
        <v>2.08</v>
      </c>
      <c r="E136" s="69" t="s">
        <v>138</v>
      </c>
      <c r="F136" s="12" t="s">
        <v>209</v>
      </c>
      <c r="G136" s="67" t="s">
        <v>122</v>
      </c>
      <c r="H136" s="77">
        <v>31</v>
      </c>
      <c r="I136" s="67" t="s">
        <v>50</v>
      </c>
      <c r="J136" s="12" t="str">
        <f t="shared" si="15"/>
        <v>п104</v>
      </c>
      <c r="K136" s="75" t="s">
        <v>51</v>
      </c>
    </row>
    <row r="137" spans="1:11" ht="30" x14ac:dyDescent="0.25">
      <c r="A137" s="68">
        <v>105</v>
      </c>
      <c r="B137" s="76" t="s">
        <v>54</v>
      </c>
      <c r="C137" s="67" t="s">
        <v>65</v>
      </c>
      <c r="D137" s="78">
        <v>514.70000000000005</v>
      </c>
      <c r="E137" s="80"/>
      <c r="F137" s="12" t="s">
        <v>209</v>
      </c>
      <c r="G137" s="67" t="s">
        <v>122</v>
      </c>
      <c r="H137" s="77">
        <v>31</v>
      </c>
      <c r="I137" s="75"/>
      <c r="J137" s="12" t="str">
        <f t="shared" si="15"/>
        <v>п105</v>
      </c>
      <c r="K137" s="75" t="s">
        <v>27</v>
      </c>
    </row>
    <row r="138" spans="1:11" x14ac:dyDescent="0.25">
      <c r="A138" s="107" t="s">
        <v>78</v>
      </c>
      <c r="B138" s="108"/>
      <c r="C138" s="108"/>
      <c r="D138" s="108"/>
      <c r="E138" s="108"/>
      <c r="F138" s="108"/>
      <c r="G138" s="108"/>
      <c r="H138" s="108"/>
      <c r="I138" s="109"/>
      <c r="J138" s="81"/>
      <c r="K138" s="82"/>
    </row>
    <row r="139" spans="1:11" ht="30" x14ac:dyDescent="0.25">
      <c r="A139" s="68">
        <v>106</v>
      </c>
      <c r="B139" s="83" t="s">
        <v>67</v>
      </c>
      <c r="C139" s="64" t="s">
        <v>66</v>
      </c>
      <c r="D139" s="84">
        <v>2.94</v>
      </c>
      <c r="E139" s="83" t="s">
        <v>139</v>
      </c>
      <c r="F139" s="12" t="s">
        <v>209</v>
      </c>
      <c r="G139" s="67" t="s">
        <v>122</v>
      </c>
      <c r="H139" s="77">
        <v>31</v>
      </c>
      <c r="I139" s="68"/>
      <c r="J139" s="12" t="str">
        <f t="shared" si="15"/>
        <v>п106</v>
      </c>
      <c r="K139" s="67" t="s">
        <v>27</v>
      </c>
    </row>
    <row r="140" spans="1:11" ht="45" x14ac:dyDescent="0.25">
      <c r="A140" s="68">
        <v>107</v>
      </c>
      <c r="B140" s="52" t="s">
        <v>211</v>
      </c>
      <c r="C140" s="64" t="s">
        <v>66</v>
      </c>
      <c r="D140" s="97">
        <v>3.71</v>
      </c>
      <c r="E140" s="96" t="s">
        <v>219</v>
      </c>
      <c r="F140" s="12" t="s">
        <v>209</v>
      </c>
      <c r="G140" s="67" t="s">
        <v>122</v>
      </c>
      <c r="H140" s="77">
        <v>31</v>
      </c>
      <c r="I140" s="98" t="s">
        <v>212</v>
      </c>
      <c r="J140" s="12" t="str">
        <f t="shared" si="15"/>
        <v>п107</v>
      </c>
      <c r="K140" s="67" t="s">
        <v>51</v>
      </c>
    </row>
    <row r="141" spans="1:11" ht="30" x14ac:dyDescent="0.25">
      <c r="A141" s="68">
        <v>108</v>
      </c>
      <c r="B141" s="83" t="s">
        <v>68</v>
      </c>
      <c r="C141" s="64" t="s">
        <v>65</v>
      </c>
      <c r="D141" s="84">
        <v>19.600000000000001</v>
      </c>
      <c r="E141" s="83"/>
      <c r="F141" s="12" t="s">
        <v>209</v>
      </c>
      <c r="G141" s="67" t="s">
        <v>122</v>
      </c>
      <c r="H141" s="77">
        <v>31</v>
      </c>
      <c r="I141" s="68"/>
      <c r="J141" s="12" t="str">
        <f t="shared" si="15"/>
        <v>п108</v>
      </c>
      <c r="K141" s="67" t="s">
        <v>27</v>
      </c>
    </row>
    <row r="142" spans="1:11" ht="45" x14ac:dyDescent="0.25">
      <c r="A142" s="68">
        <v>109</v>
      </c>
      <c r="B142" s="83" t="s">
        <v>79</v>
      </c>
      <c r="C142" s="64" t="s">
        <v>65</v>
      </c>
      <c r="D142" s="84">
        <v>21.95</v>
      </c>
      <c r="E142" s="83" t="s">
        <v>140</v>
      </c>
      <c r="F142" s="12" t="s">
        <v>209</v>
      </c>
      <c r="G142" s="67" t="s">
        <v>122</v>
      </c>
      <c r="H142" s="77">
        <v>31</v>
      </c>
      <c r="I142" s="68" t="s">
        <v>73</v>
      </c>
      <c r="J142" s="12" t="str">
        <f t="shared" si="15"/>
        <v>п109</v>
      </c>
      <c r="K142" s="67" t="s">
        <v>51</v>
      </c>
    </row>
    <row r="143" spans="1:11" ht="30" x14ac:dyDescent="0.25">
      <c r="A143" s="68">
        <v>110</v>
      </c>
      <c r="B143" s="63" t="s">
        <v>81</v>
      </c>
      <c r="C143" s="64" t="s">
        <v>65</v>
      </c>
      <c r="D143" s="84">
        <v>19.600000000000001</v>
      </c>
      <c r="E143" s="83"/>
      <c r="F143" s="12" t="s">
        <v>209</v>
      </c>
      <c r="G143" s="67" t="s">
        <v>122</v>
      </c>
      <c r="H143" s="77">
        <v>31</v>
      </c>
      <c r="I143" s="68"/>
      <c r="J143" s="12" t="str">
        <f t="shared" si="15"/>
        <v>п110</v>
      </c>
      <c r="K143" s="67" t="s">
        <v>27</v>
      </c>
    </row>
    <row r="144" spans="1:11" ht="45" x14ac:dyDescent="0.25">
      <c r="A144" s="68">
        <v>111</v>
      </c>
      <c r="B144" s="83" t="s">
        <v>80</v>
      </c>
      <c r="C144" s="64" t="s">
        <v>66</v>
      </c>
      <c r="D144" s="84">
        <v>4.07</v>
      </c>
      <c r="E144" s="83" t="s">
        <v>141</v>
      </c>
      <c r="F144" s="12" t="s">
        <v>209</v>
      </c>
      <c r="G144" s="67" t="s">
        <v>122</v>
      </c>
      <c r="H144" s="77">
        <v>31</v>
      </c>
      <c r="I144" s="68" t="s">
        <v>74</v>
      </c>
      <c r="J144" s="12" t="str">
        <f t="shared" si="15"/>
        <v>п111</v>
      </c>
      <c r="K144" s="67" t="s">
        <v>51</v>
      </c>
    </row>
    <row r="145" spans="1:11" ht="30" x14ac:dyDescent="0.25">
      <c r="A145" s="68">
        <v>112</v>
      </c>
      <c r="B145" s="85" t="s">
        <v>82</v>
      </c>
      <c r="C145" s="64" t="s">
        <v>36</v>
      </c>
      <c r="D145" s="84">
        <v>0.01</v>
      </c>
      <c r="E145" s="83" t="s">
        <v>142</v>
      </c>
      <c r="F145" s="12" t="s">
        <v>209</v>
      </c>
      <c r="G145" s="67" t="s">
        <v>122</v>
      </c>
      <c r="H145" s="77">
        <v>31</v>
      </c>
      <c r="I145" s="68" t="s">
        <v>75</v>
      </c>
      <c r="J145" s="12" t="str">
        <f t="shared" si="15"/>
        <v>п112</v>
      </c>
      <c r="K145" s="67"/>
    </row>
    <row r="146" spans="1:11" ht="30" x14ac:dyDescent="0.25">
      <c r="A146" s="68">
        <v>113</v>
      </c>
      <c r="B146" s="76" t="s">
        <v>216</v>
      </c>
      <c r="C146" s="64" t="s">
        <v>36</v>
      </c>
      <c r="D146" s="84">
        <v>0.01</v>
      </c>
      <c r="E146" s="83" t="s">
        <v>90</v>
      </c>
      <c r="F146" s="12" t="s">
        <v>209</v>
      </c>
      <c r="G146" s="67" t="s">
        <v>122</v>
      </c>
      <c r="H146" s="77">
        <v>31</v>
      </c>
      <c r="I146" s="68" t="s">
        <v>70</v>
      </c>
      <c r="J146" s="12" t="str">
        <f t="shared" si="15"/>
        <v>п113</v>
      </c>
      <c r="K146" s="67"/>
    </row>
    <row r="147" spans="1:11" ht="30" x14ac:dyDescent="0.25">
      <c r="A147" s="68">
        <v>114</v>
      </c>
      <c r="B147" s="86" t="s">
        <v>69</v>
      </c>
      <c r="C147" s="64" t="s">
        <v>65</v>
      </c>
      <c r="D147" s="84">
        <v>19.600000000000001</v>
      </c>
      <c r="E147" s="83"/>
      <c r="F147" s="12" t="s">
        <v>209</v>
      </c>
      <c r="G147" s="67" t="s">
        <v>122</v>
      </c>
      <c r="H147" s="77">
        <v>31</v>
      </c>
      <c r="I147" s="64"/>
      <c r="J147" s="12" t="str">
        <f t="shared" si="15"/>
        <v>п114</v>
      </c>
      <c r="K147" s="67" t="s">
        <v>27</v>
      </c>
    </row>
    <row r="148" spans="1:11" ht="45" x14ac:dyDescent="0.25">
      <c r="A148" s="68">
        <v>115</v>
      </c>
      <c r="B148" s="52" t="s">
        <v>215</v>
      </c>
      <c r="C148" s="64" t="s">
        <v>36</v>
      </c>
      <c r="D148" s="65">
        <v>2.46</v>
      </c>
      <c r="E148" s="83" t="s">
        <v>143</v>
      </c>
      <c r="F148" s="12" t="s">
        <v>209</v>
      </c>
      <c r="G148" s="67" t="s">
        <v>122</v>
      </c>
      <c r="H148" s="77">
        <v>31</v>
      </c>
      <c r="I148" s="68"/>
      <c r="J148" s="12" t="str">
        <f t="shared" si="15"/>
        <v>п115</v>
      </c>
      <c r="K148" s="67" t="s">
        <v>51</v>
      </c>
    </row>
    <row r="149" spans="1:11" x14ac:dyDescent="0.25">
      <c r="A149" s="110" t="s">
        <v>85</v>
      </c>
      <c r="B149" s="111"/>
      <c r="C149" s="111"/>
      <c r="D149" s="111"/>
      <c r="E149" s="111"/>
      <c r="F149" s="111"/>
      <c r="G149" s="111"/>
      <c r="H149" s="111"/>
      <c r="I149" s="112"/>
      <c r="J149" s="81"/>
      <c r="K149" s="82"/>
    </row>
    <row r="150" spans="1:11" ht="30" x14ac:dyDescent="0.25">
      <c r="A150" s="68">
        <v>116</v>
      </c>
      <c r="B150" s="76" t="s">
        <v>86</v>
      </c>
      <c r="C150" s="87" t="s">
        <v>87</v>
      </c>
      <c r="D150" s="84">
        <v>56.1</v>
      </c>
      <c r="E150" s="83"/>
      <c r="F150" s="12" t="s">
        <v>209</v>
      </c>
      <c r="G150" s="67" t="s">
        <v>122</v>
      </c>
      <c r="H150" s="77">
        <v>31</v>
      </c>
      <c r="I150" s="68"/>
      <c r="J150" s="12" t="str">
        <f t="shared" si="15"/>
        <v>п116</v>
      </c>
      <c r="K150" s="67" t="s">
        <v>27</v>
      </c>
    </row>
    <row r="151" spans="1:11" ht="45" x14ac:dyDescent="0.25">
      <c r="A151" s="68">
        <v>117</v>
      </c>
      <c r="B151" s="52" t="s">
        <v>211</v>
      </c>
      <c r="C151" s="87" t="s">
        <v>88</v>
      </c>
      <c r="D151" s="97">
        <v>7.08</v>
      </c>
      <c r="E151" s="96" t="s">
        <v>218</v>
      </c>
      <c r="F151" s="12" t="s">
        <v>209</v>
      </c>
      <c r="G151" s="67" t="s">
        <v>122</v>
      </c>
      <c r="H151" s="77">
        <v>31</v>
      </c>
      <c r="I151" s="98" t="s">
        <v>212</v>
      </c>
      <c r="J151" s="12" t="str">
        <f t="shared" si="15"/>
        <v>п117</v>
      </c>
      <c r="K151" s="67" t="s">
        <v>51</v>
      </c>
    </row>
    <row r="152" spans="1:11" ht="30" x14ac:dyDescent="0.25">
      <c r="A152" s="68">
        <v>118</v>
      </c>
      <c r="B152" s="76" t="s">
        <v>123</v>
      </c>
      <c r="C152" s="87" t="s">
        <v>87</v>
      </c>
      <c r="D152" s="84">
        <v>56.1</v>
      </c>
      <c r="E152" s="83"/>
      <c r="F152" s="12" t="s">
        <v>209</v>
      </c>
      <c r="G152" s="67" t="s">
        <v>122</v>
      </c>
      <c r="H152" s="77">
        <v>31</v>
      </c>
      <c r="I152" s="68"/>
      <c r="J152" s="12" t="str">
        <f t="shared" si="15"/>
        <v>п118</v>
      </c>
      <c r="K152" s="67"/>
    </row>
    <row r="153" spans="1:11" ht="30" x14ac:dyDescent="0.25">
      <c r="A153" s="68">
        <v>119</v>
      </c>
      <c r="B153" s="76" t="s">
        <v>124</v>
      </c>
      <c r="C153" s="87" t="s">
        <v>87</v>
      </c>
      <c r="D153" s="84">
        <v>56.1</v>
      </c>
      <c r="E153" s="83"/>
      <c r="F153" s="12" t="s">
        <v>209</v>
      </c>
      <c r="G153" s="67" t="s">
        <v>122</v>
      </c>
      <c r="H153" s="77">
        <v>31</v>
      </c>
      <c r="I153" s="68"/>
      <c r="J153" s="12" t="str">
        <f t="shared" si="15"/>
        <v>п119</v>
      </c>
      <c r="K153" s="67"/>
    </row>
    <row r="154" spans="1:11" ht="45" x14ac:dyDescent="0.25">
      <c r="A154" s="68">
        <v>120</v>
      </c>
      <c r="B154" s="76" t="s">
        <v>205</v>
      </c>
      <c r="C154" s="87" t="s">
        <v>88</v>
      </c>
      <c r="D154" s="64">
        <v>7.29</v>
      </c>
      <c r="E154" s="83" t="s">
        <v>144</v>
      </c>
      <c r="F154" s="12" t="s">
        <v>209</v>
      </c>
      <c r="G154" s="67" t="s">
        <v>122</v>
      </c>
      <c r="H154" s="77">
        <v>31</v>
      </c>
      <c r="I154" s="68" t="s">
        <v>74</v>
      </c>
      <c r="J154" s="12" t="str">
        <f t="shared" si="15"/>
        <v>п120</v>
      </c>
      <c r="K154" s="67" t="s">
        <v>51</v>
      </c>
    </row>
    <row r="155" spans="1:11" ht="30" x14ac:dyDescent="0.25">
      <c r="A155" s="68">
        <v>121</v>
      </c>
      <c r="B155" s="76" t="s">
        <v>82</v>
      </c>
      <c r="C155" s="87" t="s">
        <v>36</v>
      </c>
      <c r="D155" s="64">
        <v>0.04</v>
      </c>
      <c r="E155" s="83" t="s">
        <v>145</v>
      </c>
      <c r="F155" s="12" t="s">
        <v>209</v>
      </c>
      <c r="G155" s="67" t="s">
        <v>122</v>
      </c>
      <c r="H155" s="77">
        <v>31</v>
      </c>
      <c r="I155" s="68" t="s">
        <v>89</v>
      </c>
      <c r="J155" s="12" t="str">
        <f t="shared" si="15"/>
        <v>п121</v>
      </c>
      <c r="K155" s="67" t="s">
        <v>27</v>
      </c>
    </row>
    <row r="156" spans="1:11" ht="30" x14ac:dyDescent="0.25">
      <c r="A156" s="68">
        <v>122</v>
      </c>
      <c r="B156" s="76" t="s">
        <v>83</v>
      </c>
      <c r="C156" s="87" t="s">
        <v>36</v>
      </c>
      <c r="D156" s="64">
        <v>0.04</v>
      </c>
      <c r="E156" s="83" t="s">
        <v>146</v>
      </c>
      <c r="F156" s="12" t="s">
        <v>209</v>
      </c>
      <c r="G156" s="67" t="s">
        <v>122</v>
      </c>
      <c r="H156" s="77">
        <v>31</v>
      </c>
      <c r="I156" s="68" t="s">
        <v>70</v>
      </c>
      <c r="J156" s="12" t="str">
        <f t="shared" si="15"/>
        <v>п122</v>
      </c>
      <c r="K156" s="67" t="s">
        <v>51</v>
      </c>
    </row>
    <row r="157" spans="1:11" ht="30" x14ac:dyDescent="0.25">
      <c r="A157" s="68">
        <v>123</v>
      </c>
      <c r="B157" s="76" t="s">
        <v>69</v>
      </c>
      <c r="C157" s="87" t="s">
        <v>87</v>
      </c>
      <c r="D157" s="64">
        <v>56.1</v>
      </c>
      <c r="E157" s="83"/>
      <c r="F157" s="12" t="s">
        <v>209</v>
      </c>
      <c r="G157" s="67" t="s">
        <v>122</v>
      </c>
      <c r="H157" s="77">
        <v>31</v>
      </c>
      <c r="I157" s="68"/>
      <c r="J157" s="12" t="str">
        <f t="shared" si="15"/>
        <v>п123</v>
      </c>
      <c r="K157" s="67" t="s">
        <v>27</v>
      </c>
    </row>
    <row r="158" spans="1:11" ht="45" x14ac:dyDescent="0.25">
      <c r="A158" s="68">
        <v>124</v>
      </c>
      <c r="B158" s="52" t="s">
        <v>215</v>
      </c>
      <c r="C158" s="87" t="s">
        <v>36</v>
      </c>
      <c r="D158" s="64">
        <v>7.05</v>
      </c>
      <c r="E158" s="83" t="s">
        <v>147</v>
      </c>
      <c r="F158" s="12" t="s">
        <v>209</v>
      </c>
      <c r="G158" s="67" t="s">
        <v>122</v>
      </c>
      <c r="H158" s="77">
        <v>31</v>
      </c>
      <c r="I158" s="68"/>
      <c r="J158" s="12" t="str">
        <f t="shared" si="15"/>
        <v>п124</v>
      </c>
      <c r="K158" s="67" t="s">
        <v>51</v>
      </c>
    </row>
    <row r="159" spans="1:11" x14ac:dyDescent="0.25">
      <c r="A159" s="104" t="s">
        <v>148</v>
      </c>
      <c r="B159" s="105"/>
      <c r="C159" s="105"/>
      <c r="D159" s="105"/>
      <c r="E159" s="105"/>
      <c r="F159" s="105"/>
      <c r="G159" s="105"/>
      <c r="H159" s="105"/>
      <c r="I159" s="105"/>
      <c r="J159" s="105"/>
      <c r="K159" s="106"/>
    </row>
    <row r="160" spans="1:11" ht="30" x14ac:dyDescent="0.25">
      <c r="A160" s="68">
        <v>125</v>
      </c>
      <c r="B160" s="83" t="s">
        <v>149</v>
      </c>
      <c r="C160" s="64" t="s">
        <v>150</v>
      </c>
      <c r="D160" s="84">
        <v>242.54</v>
      </c>
      <c r="E160" s="69" t="s">
        <v>174</v>
      </c>
      <c r="F160" s="12" t="s">
        <v>209</v>
      </c>
      <c r="G160" s="67" t="s">
        <v>122</v>
      </c>
      <c r="H160" s="77">
        <v>31</v>
      </c>
      <c r="I160" s="67"/>
      <c r="J160" s="12" t="str">
        <f t="shared" si="15"/>
        <v>п125</v>
      </c>
      <c r="K160" s="67" t="s">
        <v>27</v>
      </c>
    </row>
    <row r="161" spans="1:11" ht="75" x14ac:dyDescent="0.25">
      <c r="A161" s="68">
        <v>126</v>
      </c>
      <c r="B161" s="83" t="s">
        <v>151</v>
      </c>
      <c r="C161" s="64" t="s">
        <v>150</v>
      </c>
      <c r="D161" s="97">
        <v>306.43</v>
      </c>
      <c r="E161" s="96" t="s">
        <v>221</v>
      </c>
      <c r="F161" s="12" t="s">
        <v>209</v>
      </c>
      <c r="G161" s="67" t="s">
        <v>122</v>
      </c>
      <c r="H161" s="77">
        <v>31</v>
      </c>
      <c r="I161" s="98" t="s">
        <v>220</v>
      </c>
      <c r="J161" s="12" t="str">
        <f t="shared" si="15"/>
        <v>п126</v>
      </c>
      <c r="K161" s="67" t="s">
        <v>51</v>
      </c>
    </row>
    <row r="162" spans="1:11" ht="30" x14ac:dyDescent="0.25">
      <c r="A162" s="68">
        <v>127</v>
      </c>
      <c r="B162" s="83" t="s">
        <v>68</v>
      </c>
      <c r="C162" s="64" t="s">
        <v>65</v>
      </c>
      <c r="D162" s="84">
        <v>574.20000000000005</v>
      </c>
      <c r="E162" s="83"/>
      <c r="F162" s="12" t="s">
        <v>209</v>
      </c>
      <c r="G162" s="67" t="s">
        <v>122</v>
      </c>
      <c r="H162" s="77">
        <v>31</v>
      </c>
      <c r="I162" s="67"/>
      <c r="J162" s="12" t="str">
        <f t="shared" si="15"/>
        <v>п127</v>
      </c>
      <c r="K162" s="67" t="s">
        <v>27</v>
      </c>
    </row>
    <row r="163" spans="1:11" ht="45" x14ac:dyDescent="0.25">
      <c r="A163" s="68">
        <v>128</v>
      </c>
      <c r="B163" s="83" t="s">
        <v>152</v>
      </c>
      <c r="C163" s="64" t="s">
        <v>65</v>
      </c>
      <c r="D163" s="97">
        <v>643.1</v>
      </c>
      <c r="E163" s="96" t="s">
        <v>222</v>
      </c>
      <c r="F163" s="12" t="s">
        <v>209</v>
      </c>
      <c r="G163" s="67" t="s">
        <v>122</v>
      </c>
      <c r="H163" s="77">
        <v>31</v>
      </c>
      <c r="I163" s="67"/>
      <c r="J163" s="12" t="str">
        <f t="shared" si="15"/>
        <v>п128</v>
      </c>
      <c r="K163" s="67" t="s">
        <v>51</v>
      </c>
    </row>
    <row r="164" spans="1:11" ht="30" x14ac:dyDescent="0.25">
      <c r="A164" s="68">
        <v>129</v>
      </c>
      <c r="B164" s="63" t="s">
        <v>153</v>
      </c>
      <c r="C164" s="64" t="s">
        <v>65</v>
      </c>
      <c r="D164" s="84">
        <v>574.20000000000005</v>
      </c>
      <c r="E164" s="83"/>
      <c r="F164" s="12" t="s">
        <v>209</v>
      </c>
      <c r="G164" s="67" t="s">
        <v>122</v>
      </c>
      <c r="H164" s="77">
        <v>31</v>
      </c>
      <c r="I164" s="67"/>
      <c r="J164" s="12" t="str">
        <f t="shared" si="15"/>
        <v>п129</v>
      </c>
      <c r="K164" s="67" t="s">
        <v>27</v>
      </c>
    </row>
    <row r="165" spans="1:11" ht="75" x14ac:dyDescent="0.25">
      <c r="A165" s="68">
        <v>130</v>
      </c>
      <c r="B165" s="63" t="s">
        <v>154</v>
      </c>
      <c r="C165" s="64" t="s">
        <v>150</v>
      </c>
      <c r="D165" s="97">
        <v>168.6</v>
      </c>
      <c r="E165" s="96" t="s">
        <v>232</v>
      </c>
      <c r="F165" s="12" t="s">
        <v>209</v>
      </c>
      <c r="G165" s="67" t="s">
        <v>122</v>
      </c>
      <c r="H165" s="77">
        <v>31</v>
      </c>
      <c r="I165" s="98" t="s">
        <v>223</v>
      </c>
      <c r="J165" s="12" t="str">
        <f t="shared" si="15"/>
        <v>п130</v>
      </c>
      <c r="K165" s="67" t="s">
        <v>51</v>
      </c>
    </row>
    <row r="166" spans="1:11" ht="30" x14ac:dyDescent="0.25">
      <c r="A166" s="68">
        <v>131</v>
      </c>
      <c r="B166" s="83" t="s">
        <v>155</v>
      </c>
      <c r="C166" s="64" t="s">
        <v>36</v>
      </c>
      <c r="D166" s="84">
        <v>0.4</v>
      </c>
      <c r="E166" s="83" t="s">
        <v>156</v>
      </c>
      <c r="F166" s="12" t="s">
        <v>209</v>
      </c>
      <c r="G166" s="67" t="s">
        <v>122</v>
      </c>
      <c r="H166" s="77">
        <v>31</v>
      </c>
      <c r="I166" s="67" t="s">
        <v>89</v>
      </c>
      <c r="J166" s="12" t="str">
        <f t="shared" si="15"/>
        <v>п131</v>
      </c>
      <c r="K166" s="67" t="s">
        <v>27</v>
      </c>
    </row>
    <row r="167" spans="1:11" ht="30" x14ac:dyDescent="0.25">
      <c r="A167" s="68">
        <v>132</v>
      </c>
      <c r="B167" s="83" t="s">
        <v>157</v>
      </c>
      <c r="C167" s="64" t="s">
        <v>36</v>
      </c>
      <c r="D167" s="84">
        <v>0.41</v>
      </c>
      <c r="E167" s="83" t="s">
        <v>158</v>
      </c>
      <c r="F167" s="12" t="s">
        <v>209</v>
      </c>
      <c r="G167" s="67" t="s">
        <v>122</v>
      </c>
      <c r="H167" s="77">
        <v>31</v>
      </c>
      <c r="I167" s="67" t="s">
        <v>70</v>
      </c>
      <c r="J167" s="12" t="str">
        <f t="shared" si="15"/>
        <v>п132</v>
      </c>
      <c r="K167" s="67" t="s">
        <v>51</v>
      </c>
    </row>
    <row r="168" spans="1:11" ht="30" x14ac:dyDescent="0.25">
      <c r="A168" s="68">
        <v>133</v>
      </c>
      <c r="B168" s="83" t="s">
        <v>159</v>
      </c>
      <c r="C168" s="64" t="s">
        <v>65</v>
      </c>
      <c r="D168" s="84">
        <v>574.20000000000005</v>
      </c>
      <c r="E168" s="83"/>
      <c r="F168" s="12" t="s">
        <v>209</v>
      </c>
      <c r="G168" s="67" t="s">
        <v>122</v>
      </c>
      <c r="H168" s="77">
        <v>31</v>
      </c>
      <c r="I168" s="67"/>
      <c r="J168" s="12" t="str">
        <f t="shared" si="15"/>
        <v>п133</v>
      </c>
      <c r="K168" s="67" t="s">
        <v>27</v>
      </c>
    </row>
    <row r="169" spans="1:11" ht="45" x14ac:dyDescent="0.25">
      <c r="A169" s="68">
        <v>134</v>
      </c>
      <c r="B169" s="96" t="s">
        <v>225</v>
      </c>
      <c r="C169" s="64" t="s">
        <v>36</v>
      </c>
      <c r="D169" s="84">
        <v>121.44</v>
      </c>
      <c r="E169" s="83" t="s">
        <v>160</v>
      </c>
      <c r="F169" s="12" t="s">
        <v>209</v>
      </c>
      <c r="G169" s="67" t="s">
        <v>122</v>
      </c>
      <c r="H169" s="77">
        <v>31</v>
      </c>
      <c r="I169" s="67" t="s">
        <v>161</v>
      </c>
      <c r="J169" s="12" t="str">
        <f t="shared" si="15"/>
        <v>п134</v>
      </c>
      <c r="K169" s="67" t="s">
        <v>51</v>
      </c>
    </row>
    <row r="170" spans="1:11" ht="30" x14ac:dyDescent="0.25">
      <c r="A170" s="68">
        <v>135</v>
      </c>
      <c r="B170" s="63" t="s">
        <v>162</v>
      </c>
      <c r="C170" s="64" t="s">
        <v>36</v>
      </c>
      <c r="D170" s="84">
        <v>0.17</v>
      </c>
      <c r="E170" s="83" t="s">
        <v>163</v>
      </c>
      <c r="F170" s="12" t="s">
        <v>209</v>
      </c>
      <c r="G170" s="67" t="s">
        <v>122</v>
      </c>
      <c r="H170" s="77">
        <v>31</v>
      </c>
      <c r="I170" s="67" t="s">
        <v>164</v>
      </c>
      <c r="J170" s="12" t="str">
        <f t="shared" si="15"/>
        <v>п135</v>
      </c>
      <c r="K170" s="67" t="s">
        <v>27</v>
      </c>
    </row>
    <row r="171" spans="1:11" ht="30" x14ac:dyDescent="0.25">
      <c r="A171" s="68">
        <v>136</v>
      </c>
      <c r="B171" s="83" t="s">
        <v>157</v>
      </c>
      <c r="C171" s="64" t="s">
        <v>36</v>
      </c>
      <c r="D171" s="84">
        <v>0.18</v>
      </c>
      <c r="E171" s="83" t="s">
        <v>165</v>
      </c>
      <c r="F171" s="12" t="s">
        <v>209</v>
      </c>
      <c r="G171" s="67" t="s">
        <v>122</v>
      </c>
      <c r="H171" s="77">
        <v>31</v>
      </c>
      <c r="I171" s="67" t="s">
        <v>70</v>
      </c>
      <c r="J171" s="12" t="str">
        <f t="shared" si="15"/>
        <v>п136</v>
      </c>
      <c r="K171" s="67" t="s">
        <v>51</v>
      </c>
    </row>
    <row r="172" spans="1:11" ht="30" x14ac:dyDescent="0.25">
      <c r="A172" s="68">
        <v>137</v>
      </c>
      <c r="B172" s="86" t="s">
        <v>69</v>
      </c>
      <c r="C172" s="64" t="s">
        <v>65</v>
      </c>
      <c r="D172" s="65">
        <v>574.20000000000005</v>
      </c>
      <c r="E172" s="83"/>
      <c r="F172" s="12" t="s">
        <v>209</v>
      </c>
      <c r="G172" s="67" t="s">
        <v>122</v>
      </c>
      <c r="H172" s="77">
        <v>31</v>
      </c>
      <c r="I172" s="64"/>
      <c r="J172" s="12" t="str">
        <f t="shared" si="15"/>
        <v>п137</v>
      </c>
      <c r="K172" s="67" t="s">
        <v>27</v>
      </c>
    </row>
    <row r="173" spans="1:11" ht="45" x14ac:dyDescent="0.25">
      <c r="A173" s="68">
        <v>138</v>
      </c>
      <c r="B173" s="52" t="s">
        <v>224</v>
      </c>
      <c r="C173" s="64" t="s">
        <v>36</v>
      </c>
      <c r="D173" s="65">
        <v>28.71</v>
      </c>
      <c r="E173" s="83" t="s">
        <v>175</v>
      </c>
      <c r="F173" s="12" t="s">
        <v>209</v>
      </c>
      <c r="G173" s="67" t="s">
        <v>122</v>
      </c>
      <c r="H173" s="77">
        <v>31</v>
      </c>
      <c r="I173" s="67" t="s">
        <v>166</v>
      </c>
      <c r="J173" s="12" t="str">
        <f t="shared" si="15"/>
        <v>п138</v>
      </c>
      <c r="K173" s="67" t="s">
        <v>51</v>
      </c>
    </row>
    <row r="174" spans="1:11" x14ac:dyDescent="0.25">
      <c r="A174" s="103" t="s">
        <v>167</v>
      </c>
      <c r="B174" s="103"/>
      <c r="C174" s="103"/>
      <c r="D174" s="103"/>
      <c r="E174" s="103"/>
      <c r="F174" s="103"/>
      <c r="G174" s="103"/>
      <c r="H174" s="103"/>
      <c r="I174" s="103"/>
      <c r="J174" s="60"/>
      <c r="K174" s="61"/>
    </row>
    <row r="175" spans="1:11" ht="30" x14ac:dyDescent="0.25">
      <c r="A175" s="68">
        <v>139</v>
      </c>
      <c r="B175" s="88" t="s">
        <v>56</v>
      </c>
      <c r="C175" s="64" t="s">
        <v>65</v>
      </c>
      <c r="D175" s="65">
        <v>17.05</v>
      </c>
      <c r="E175" s="89" t="s">
        <v>176</v>
      </c>
      <c r="F175" s="12" t="s">
        <v>209</v>
      </c>
      <c r="G175" s="67" t="s">
        <v>122</v>
      </c>
      <c r="H175" s="77">
        <v>31</v>
      </c>
      <c r="I175" s="68" t="s">
        <v>57</v>
      </c>
      <c r="J175" s="12" t="str">
        <f t="shared" si="15"/>
        <v>п139</v>
      </c>
      <c r="K175" s="67" t="s">
        <v>27</v>
      </c>
    </row>
    <row r="176" spans="1:11" ht="45" x14ac:dyDescent="0.25">
      <c r="A176" s="68">
        <v>140</v>
      </c>
      <c r="B176" s="88" t="s">
        <v>58</v>
      </c>
      <c r="C176" s="64" t="s">
        <v>66</v>
      </c>
      <c r="D176" s="65">
        <v>4.59</v>
      </c>
      <c r="E176" s="90" t="s">
        <v>177</v>
      </c>
      <c r="F176" s="12" t="s">
        <v>209</v>
      </c>
      <c r="G176" s="67" t="s">
        <v>122</v>
      </c>
      <c r="H176" s="77">
        <v>31</v>
      </c>
      <c r="I176" s="64" t="s">
        <v>59</v>
      </c>
      <c r="J176" s="12" t="str">
        <f t="shared" si="15"/>
        <v>п140</v>
      </c>
      <c r="K176" s="67" t="s">
        <v>51</v>
      </c>
    </row>
    <row r="177" spans="1:11" ht="90" x14ac:dyDescent="0.25">
      <c r="A177" s="68">
        <v>141</v>
      </c>
      <c r="B177" s="88" t="s">
        <v>60</v>
      </c>
      <c r="C177" s="62" t="s">
        <v>61</v>
      </c>
      <c r="D177" s="65">
        <v>60.9</v>
      </c>
      <c r="E177" s="91"/>
      <c r="F177" s="12" t="s">
        <v>209</v>
      </c>
      <c r="G177" s="67" t="s">
        <v>122</v>
      </c>
      <c r="H177" s="77">
        <v>31</v>
      </c>
      <c r="I177" s="92"/>
      <c r="J177" s="12" t="str">
        <f t="shared" si="15"/>
        <v>п141</v>
      </c>
      <c r="K177" s="67" t="s">
        <v>27</v>
      </c>
    </row>
    <row r="178" spans="1:11" ht="30" x14ac:dyDescent="0.25">
      <c r="A178" s="68">
        <v>142</v>
      </c>
      <c r="B178" s="88" t="s">
        <v>62</v>
      </c>
      <c r="C178" s="64" t="s">
        <v>66</v>
      </c>
      <c r="D178" s="65">
        <v>2.98</v>
      </c>
      <c r="E178" s="90" t="s">
        <v>168</v>
      </c>
      <c r="F178" s="12" t="s">
        <v>209</v>
      </c>
      <c r="G178" s="67" t="s">
        <v>122</v>
      </c>
      <c r="H178" s="77">
        <v>31</v>
      </c>
      <c r="I178" s="68" t="s">
        <v>63</v>
      </c>
      <c r="J178" s="12" t="str">
        <f t="shared" si="15"/>
        <v>п142</v>
      </c>
      <c r="K178" s="67" t="s">
        <v>51</v>
      </c>
    </row>
    <row r="179" spans="1:11" ht="60" x14ac:dyDescent="0.25">
      <c r="A179" s="68">
        <v>143</v>
      </c>
      <c r="B179" s="88" t="s">
        <v>64</v>
      </c>
      <c r="C179" s="64" t="s">
        <v>125</v>
      </c>
      <c r="D179" s="65">
        <v>60.9</v>
      </c>
      <c r="E179" s="90"/>
      <c r="F179" s="12" t="s">
        <v>209</v>
      </c>
      <c r="G179" s="67" t="s">
        <v>122</v>
      </c>
      <c r="H179" s="77">
        <v>31</v>
      </c>
      <c r="I179" s="68"/>
      <c r="J179" s="12" t="str">
        <f t="shared" si="15"/>
        <v>п143</v>
      </c>
      <c r="K179" s="67" t="s">
        <v>51</v>
      </c>
    </row>
    <row r="180" spans="1:11" ht="30" x14ac:dyDescent="0.25">
      <c r="A180" s="68">
        <v>144</v>
      </c>
      <c r="B180" s="88" t="s">
        <v>169</v>
      </c>
      <c r="C180" s="64" t="s">
        <v>65</v>
      </c>
      <c r="D180" s="65">
        <v>62.33</v>
      </c>
      <c r="E180" s="90" t="s">
        <v>178</v>
      </c>
      <c r="F180" s="12" t="s">
        <v>209</v>
      </c>
      <c r="G180" s="67" t="s">
        <v>122</v>
      </c>
      <c r="H180" s="77">
        <v>31</v>
      </c>
      <c r="I180" s="68" t="s">
        <v>170</v>
      </c>
      <c r="J180" s="12" t="str">
        <f t="shared" si="15"/>
        <v>п144</v>
      </c>
      <c r="K180" s="67" t="s">
        <v>27</v>
      </c>
    </row>
    <row r="181" spans="1:11" ht="45" x14ac:dyDescent="0.25">
      <c r="A181" s="68">
        <v>145</v>
      </c>
      <c r="B181" s="88" t="s">
        <v>58</v>
      </c>
      <c r="C181" s="64" t="s">
        <v>66</v>
      </c>
      <c r="D181" s="101">
        <v>15.51</v>
      </c>
      <c r="E181" s="100" t="s">
        <v>226</v>
      </c>
      <c r="F181" s="12" t="s">
        <v>209</v>
      </c>
      <c r="G181" s="67" t="s">
        <v>122</v>
      </c>
      <c r="H181" s="77">
        <v>31</v>
      </c>
      <c r="I181" s="102" t="s">
        <v>227</v>
      </c>
      <c r="J181" s="12" t="str">
        <f t="shared" si="15"/>
        <v>п145</v>
      </c>
      <c r="K181" s="67" t="s">
        <v>51</v>
      </c>
    </row>
    <row r="182" spans="1:11" ht="90" x14ac:dyDescent="0.25">
      <c r="A182" s="68">
        <v>146</v>
      </c>
      <c r="B182" s="88" t="s">
        <v>171</v>
      </c>
      <c r="C182" s="64" t="s">
        <v>61</v>
      </c>
      <c r="D182" s="65">
        <v>178.1</v>
      </c>
      <c r="E182" s="90"/>
      <c r="F182" s="12" t="s">
        <v>209</v>
      </c>
      <c r="G182" s="67" t="s">
        <v>122</v>
      </c>
      <c r="H182" s="77">
        <v>31</v>
      </c>
      <c r="I182" s="68" t="s">
        <v>172</v>
      </c>
      <c r="J182" s="12" t="str">
        <f t="shared" ref="J182:J184" si="16">IF(NOT(EXACT(LOWER(A182),UPPER(A182))),"",IF(A182&gt;0,"п"&amp;A182,""))</f>
        <v>п146</v>
      </c>
      <c r="K182" s="67" t="s">
        <v>27</v>
      </c>
    </row>
    <row r="183" spans="1:11" ht="30" x14ac:dyDescent="0.25">
      <c r="A183" s="68">
        <v>147</v>
      </c>
      <c r="B183" s="88" t="s">
        <v>62</v>
      </c>
      <c r="C183" s="64" t="s">
        <v>66</v>
      </c>
      <c r="D183" s="65">
        <v>10</v>
      </c>
      <c r="E183" s="90" t="s">
        <v>173</v>
      </c>
      <c r="F183" s="12" t="s">
        <v>209</v>
      </c>
      <c r="G183" s="67" t="s">
        <v>122</v>
      </c>
      <c r="H183" s="77">
        <v>31</v>
      </c>
      <c r="I183" s="68"/>
      <c r="J183" s="12" t="str">
        <f t="shared" si="16"/>
        <v>п147</v>
      </c>
      <c r="K183" s="67" t="s">
        <v>51</v>
      </c>
    </row>
    <row r="184" spans="1:11" ht="60" x14ac:dyDescent="0.25">
      <c r="A184" s="68">
        <v>148</v>
      </c>
      <c r="B184" s="88" t="s">
        <v>179</v>
      </c>
      <c r="C184" s="64" t="s">
        <v>125</v>
      </c>
      <c r="D184" s="65">
        <v>178.1</v>
      </c>
      <c r="E184" s="90"/>
      <c r="F184" s="12" t="s">
        <v>209</v>
      </c>
      <c r="G184" s="67" t="s">
        <v>122</v>
      </c>
      <c r="H184" s="77">
        <v>31</v>
      </c>
      <c r="I184" s="68" t="s">
        <v>180</v>
      </c>
      <c r="J184" s="12" t="str">
        <f t="shared" si="16"/>
        <v>п148</v>
      </c>
      <c r="K184" s="67" t="s">
        <v>51</v>
      </c>
    </row>
    <row r="185" spans="1:11" x14ac:dyDescent="0.25">
      <c r="A185" s="107"/>
      <c r="B185" s="108"/>
      <c r="C185" s="108"/>
      <c r="D185" s="108"/>
      <c r="E185" s="108"/>
      <c r="F185" s="108"/>
      <c r="G185" s="108"/>
      <c r="H185" s="108"/>
      <c r="I185" s="109"/>
      <c r="J185" s="93"/>
      <c r="K185" s="61"/>
    </row>
    <row r="186" spans="1:11" x14ac:dyDescent="0.25">
      <c r="A186" s="55"/>
      <c r="B186" s="56"/>
      <c r="C186" s="56"/>
      <c r="D186" s="56"/>
      <c r="E186" s="56"/>
      <c r="F186" s="57" t="s">
        <v>181</v>
      </c>
      <c r="G186" s="58"/>
      <c r="H186" s="58"/>
      <c r="I186" s="59"/>
      <c r="J186" s="60"/>
      <c r="K186" s="60"/>
    </row>
    <row r="187" spans="1:11" x14ac:dyDescent="0.25">
      <c r="A187" s="110" t="s">
        <v>33</v>
      </c>
      <c r="B187" s="111"/>
      <c r="C187" s="111"/>
      <c r="D187" s="111"/>
      <c r="E187" s="111"/>
      <c r="F187" s="111"/>
      <c r="G187" s="111"/>
      <c r="H187" s="111"/>
      <c r="I187" s="112"/>
      <c r="J187" s="60"/>
      <c r="K187" s="61"/>
    </row>
    <row r="188" spans="1:11" ht="45" x14ac:dyDescent="0.25">
      <c r="A188" s="62">
        <v>149</v>
      </c>
      <c r="B188" s="63" t="s">
        <v>34</v>
      </c>
      <c r="C188" s="64" t="s">
        <v>66</v>
      </c>
      <c r="D188" s="65">
        <v>408</v>
      </c>
      <c r="E188" s="66"/>
      <c r="F188" s="12" t="s">
        <v>209</v>
      </c>
      <c r="G188" s="67" t="s">
        <v>122</v>
      </c>
      <c r="H188" s="77">
        <v>32</v>
      </c>
      <c r="I188" s="64"/>
      <c r="J188" s="12" t="str">
        <f t="shared" ref="J188:J194" si="17">IF(NOT(EXACT(LOWER(A188),UPPER(A188))),"",IF(A188&gt;0,"п"&amp;A188,""))</f>
        <v>п149</v>
      </c>
      <c r="K188" s="67" t="s">
        <v>27</v>
      </c>
    </row>
    <row r="189" spans="1:11" ht="45" x14ac:dyDescent="0.25">
      <c r="A189" s="62">
        <v>150</v>
      </c>
      <c r="B189" s="63" t="s">
        <v>35</v>
      </c>
      <c r="C189" s="62" t="s">
        <v>36</v>
      </c>
      <c r="D189" s="65">
        <v>791.52</v>
      </c>
      <c r="E189" s="69" t="s">
        <v>208</v>
      </c>
      <c r="F189" s="12" t="s">
        <v>209</v>
      </c>
      <c r="G189" s="67" t="s">
        <v>122</v>
      </c>
      <c r="H189" s="77">
        <v>32</v>
      </c>
      <c r="I189" s="64" t="s">
        <v>37</v>
      </c>
      <c r="J189" s="12" t="str">
        <f t="shared" si="17"/>
        <v>п150</v>
      </c>
      <c r="K189" s="67" t="s">
        <v>38</v>
      </c>
    </row>
    <row r="190" spans="1:11" ht="30" x14ac:dyDescent="0.25">
      <c r="A190" s="62">
        <v>151</v>
      </c>
      <c r="B190" s="94" t="s">
        <v>202</v>
      </c>
      <c r="C190" s="64" t="s">
        <v>66</v>
      </c>
      <c r="D190" s="65">
        <v>767</v>
      </c>
      <c r="E190" s="69"/>
      <c r="F190" s="12" t="s">
        <v>209</v>
      </c>
      <c r="G190" s="67" t="s">
        <v>122</v>
      </c>
      <c r="H190" s="77">
        <v>32</v>
      </c>
      <c r="I190" s="64"/>
      <c r="J190" s="12" t="str">
        <f t="shared" si="17"/>
        <v>п151</v>
      </c>
      <c r="K190" s="67" t="s">
        <v>204</v>
      </c>
    </row>
    <row r="191" spans="1:11" ht="45" x14ac:dyDescent="0.25">
      <c r="A191" s="62">
        <v>152</v>
      </c>
      <c r="B191" s="94" t="s">
        <v>203</v>
      </c>
      <c r="C191" s="62" t="s">
        <v>36</v>
      </c>
      <c r="D191" s="65">
        <v>1487.98</v>
      </c>
      <c r="E191" s="69" t="s">
        <v>182</v>
      </c>
      <c r="F191" s="12" t="s">
        <v>209</v>
      </c>
      <c r="G191" s="67" t="s">
        <v>122</v>
      </c>
      <c r="H191" s="77">
        <v>32</v>
      </c>
      <c r="I191" s="64" t="s">
        <v>37</v>
      </c>
      <c r="J191" s="12" t="str">
        <f t="shared" si="17"/>
        <v>п152</v>
      </c>
      <c r="K191" s="67" t="s">
        <v>38</v>
      </c>
    </row>
    <row r="192" spans="1:11" ht="30" x14ac:dyDescent="0.25">
      <c r="A192" s="62">
        <v>153</v>
      </c>
      <c r="B192" s="63" t="s">
        <v>39</v>
      </c>
      <c r="C192" s="64" t="s">
        <v>66</v>
      </c>
      <c r="D192" s="65">
        <v>1175</v>
      </c>
      <c r="E192" s="66"/>
      <c r="F192" s="12" t="s">
        <v>209</v>
      </c>
      <c r="G192" s="67" t="s">
        <v>122</v>
      </c>
      <c r="H192" s="77">
        <v>32</v>
      </c>
      <c r="I192" s="64"/>
      <c r="J192" s="12" t="str">
        <f t="shared" si="17"/>
        <v>п153</v>
      </c>
      <c r="K192" s="67" t="s">
        <v>27</v>
      </c>
    </row>
    <row r="193" spans="1:11" ht="60" x14ac:dyDescent="0.25">
      <c r="A193" s="62">
        <v>154</v>
      </c>
      <c r="B193" s="63" t="s">
        <v>40</v>
      </c>
      <c r="C193" s="64" t="s">
        <v>66</v>
      </c>
      <c r="D193" s="65">
        <v>1175</v>
      </c>
      <c r="E193" s="66"/>
      <c r="F193" s="12" t="s">
        <v>209</v>
      </c>
      <c r="G193" s="67" t="s">
        <v>122</v>
      </c>
      <c r="H193" s="77">
        <v>32</v>
      </c>
      <c r="I193" s="64"/>
      <c r="J193" s="12" t="str">
        <f t="shared" si="17"/>
        <v>п154</v>
      </c>
      <c r="K193" s="67" t="s">
        <v>27</v>
      </c>
    </row>
    <row r="194" spans="1:11" ht="30" x14ac:dyDescent="0.25">
      <c r="A194" s="62">
        <v>155</v>
      </c>
      <c r="B194" s="63" t="s">
        <v>41</v>
      </c>
      <c r="C194" s="64" t="s">
        <v>66</v>
      </c>
      <c r="D194" s="65">
        <v>352.5</v>
      </c>
      <c r="E194" s="69" t="s">
        <v>183</v>
      </c>
      <c r="F194" s="12" t="s">
        <v>209</v>
      </c>
      <c r="G194" s="67" t="s">
        <v>122</v>
      </c>
      <c r="H194" s="77">
        <v>32</v>
      </c>
      <c r="I194" s="64" t="s">
        <v>42</v>
      </c>
      <c r="J194" s="12" t="str">
        <f t="shared" si="17"/>
        <v>п155</v>
      </c>
      <c r="K194" s="67" t="s">
        <v>27</v>
      </c>
    </row>
    <row r="195" spans="1:11" x14ac:dyDescent="0.25">
      <c r="A195" s="110" t="s">
        <v>43</v>
      </c>
      <c r="B195" s="111"/>
      <c r="C195" s="111"/>
      <c r="D195" s="111"/>
      <c r="E195" s="111"/>
      <c r="F195" s="111"/>
      <c r="G195" s="111"/>
      <c r="H195" s="111"/>
      <c r="I195" s="112"/>
      <c r="J195" s="70"/>
      <c r="K195" s="71"/>
    </row>
    <row r="196" spans="1:11" ht="75" x14ac:dyDescent="0.25">
      <c r="A196" s="68">
        <v>156</v>
      </c>
      <c r="B196" s="72" t="s">
        <v>44</v>
      </c>
      <c r="C196" s="67" t="s">
        <v>66</v>
      </c>
      <c r="D196" s="73">
        <v>156</v>
      </c>
      <c r="E196" s="74"/>
      <c r="F196" s="12" t="s">
        <v>209</v>
      </c>
      <c r="G196" s="67" t="s">
        <v>122</v>
      </c>
      <c r="H196" s="77">
        <v>32</v>
      </c>
      <c r="I196" s="75"/>
      <c r="J196" s="12" t="str">
        <f t="shared" ref="J196:J207" si="18">IF(NOT(EXACT(LOWER(A196),UPPER(A196))),"",IF(A196&gt;0,"п"&amp;A196,""))</f>
        <v>п156</v>
      </c>
      <c r="K196" s="75" t="s">
        <v>27</v>
      </c>
    </row>
    <row r="197" spans="1:11" ht="30" x14ac:dyDescent="0.25">
      <c r="A197" s="68">
        <v>157</v>
      </c>
      <c r="B197" s="76" t="s">
        <v>45</v>
      </c>
      <c r="C197" s="67" t="s">
        <v>36</v>
      </c>
      <c r="D197" s="73">
        <v>187.2</v>
      </c>
      <c r="E197" s="69" t="s">
        <v>132</v>
      </c>
      <c r="F197" s="12" t="s">
        <v>209</v>
      </c>
      <c r="G197" s="67" t="s">
        <v>122</v>
      </c>
      <c r="H197" s="77">
        <v>32</v>
      </c>
      <c r="I197" s="67" t="s">
        <v>46</v>
      </c>
      <c r="J197" s="12" t="str">
        <f t="shared" si="18"/>
        <v>п157</v>
      </c>
      <c r="K197" s="75" t="s">
        <v>38</v>
      </c>
    </row>
    <row r="198" spans="1:11" ht="45" x14ac:dyDescent="0.25">
      <c r="A198" s="68">
        <v>158</v>
      </c>
      <c r="B198" s="76" t="s">
        <v>47</v>
      </c>
      <c r="C198" s="67" t="s">
        <v>65</v>
      </c>
      <c r="D198" s="73">
        <v>943.04</v>
      </c>
      <c r="E198" s="74"/>
      <c r="F198" s="12" t="s">
        <v>209</v>
      </c>
      <c r="G198" s="67" t="s">
        <v>122</v>
      </c>
      <c r="H198" s="77">
        <v>32</v>
      </c>
      <c r="I198" s="75"/>
      <c r="J198" s="12" t="str">
        <f t="shared" si="18"/>
        <v>п158</v>
      </c>
      <c r="K198" s="75" t="s">
        <v>27</v>
      </c>
    </row>
    <row r="199" spans="1:11" ht="30" x14ac:dyDescent="0.25">
      <c r="A199" s="68">
        <v>159</v>
      </c>
      <c r="B199" s="76" t="s">
        <v>48</v>
      </c>
      <c r="C199" s="67" t="s">
        <v>49</v>
      </c>
      <c r="D199" s="73">
        <v>8.91</v>
      </c>
      <c r="E199" s="69" t="s">
        <v>184</v>
      </c>
      <c r="F199" s="12" t="s">
        <v>209</v>
      </c>
      <c r="G199" s="67" t="s">
        <v>122</v>
      </c>
      <c r="H199" s="77">
        <v>32</v>
      </c>
      <c r="I199" s="67" t="s">
        <v>50</v>
      </c>
      <c r="J199" s="12" t="str">
        <f t="shared" si="18"/>
        <v>п159</v>
      </c>
      <c r="K199" s="75" t="s">
        <v>51</v>
      </c>
    </row>
    <row r="200" spans="1:11" ht="30" x14ac:dyDescent="0.25">
      <c r="A200" s="68">
        <v>160</v>
      </c>
      <c r="B200" s="76" t="s">
        <v>52</v>
      </c>
      <c r="C200" s="67" t="s">
        <v>49</v>
      </c>
      <c r="D200" s="73">
        <v>12.73</v>
      </c>
      <c r="E200" s="69" t="s">
        <v>185</v>
      </c>
      <c r="F200" s="12" t="s">
        <v>209</v>
      </c>
      <c r="G200" s="67" t="s">
        <v>122</v>
      </c>
      <c r="H200" s="77">
        <v>32</v>
      </c>
      <c r="I200" s="67" t="s">
        <v>50</v>
      </c>
      <c r="J200" s="12" t="str">
        <f t="shared" si="18"/>
        <v>п160</v>
      </c>
      <c r="K200" s="75" t="s">
        <v>51</v>
      </c>
    </row>
    <row r="201" spans="1:11" ht="30" x14ac:dyDescent="0.25">
      <c r="A201" s="68">
        <v>161</v>
      </c>
      <c r="B201" s="76" t="s">
        <v>53</v>
      </c>
      <c r="C201" s="67" t="s">
        <v>49</v>
      </c>
      <c r="D201" s="73">
        <v>3.82</v>
      </c>
      <c r="E201" s="69" t="s">
        <v>186</v>
      </c>
      <c r="F201" s="12" t="s">
        <v>209</v>
      </c>
      <c r="G201" s="67" t="s">
        <v>122</v>
      </c>
      <c r="H201" s="77">
        <v>32</v>
      </c>
      <c r="I201" s="67" t="s">
        <v>50</v>
      </c>
      <c r="J201" s="12" t="str">
        <f t="shared" si="18"/>
        <v>п161</v>
      </c>
      <c r="K201" s="75" t="s">
        <v>51</v>
      </c>
    </row>
    <row r="202" spans="1:11" ht="30" x14ac:dyDescent="0.25">
      <c r="A202" s="68">
        <v>162</v>
      </c>
      <c r="B202" s="76" t="s">
        <v>54</v>
      </c>
      <c r="C202" s="67" t="s">
        <v>65</v>
      </c>
      <c r="D202" s="73">
        <v>943.04</v>
      </c>
      <c r="E202" s="74"/>
      <c r="F202" s="12" t="s">
        <v>209</v>
      </c>
      <c r="G202" s="67" t="s">
        <v>122</v>
      </c>
      <c r="H202" s="77">
        <v>32</v>
      </c>
      <c r="I202" s="75"/>
      <c r="J202" s="12" t="str">
        <f t="shared" si="18"/>
        <v>п162</v>
      </c>
      <c r="K202" s="75" t="s">
        <v>27</v>
      </c>
    </row>
    <row r="203" spans="1:11" ht="45" x14ac:dyDescent="0.25">
      <c r="A203" s="68">
        <v>163</v>
      </c>
      <c r="B203" s="76" t="s">
        <v>55</v>
      </c>
      <c r="C203" s="67" t="s">
        <v>65</v>
      </c>
      <c r="D203" s="78">
        <v>88.4</v>
      </c>
      <c r="E203" s="79"/>
      <c r="F203" s="12" t="s">
        <v>209</v>
      </c>
      <c r="G203" s="67" t="s">
        <v>122</v>
      </c>
      <c r="H203" s="77">
        <v>32</v>
      </c>
      <c r="I203" s="75"/>
      <c r="J203" s="12" t="str">
        <f t="shared" si="18"/>
        <v>п163</v>
      </c>
      <c r="K203" s="75" t="s">
        <v>27</v>
      </c>
    </row>
    <row r="204" spans="1:11" ht="30" x14ac:dyDescent="0.25">
      <c r="A204" s="68">
        <v>164</v>
      </c>
      <c r="B204" s="76" t="s">
        <v>48</v>
      </c>
      <c r="C204" s="67" t="s">
        <v>49</v>
      </c>
      <c r="D204" s="73">
        <v>0.83</v>
      </c>
      <c r="E204" s="69" t="s">
        <v>187</v>
      </c>
      <c r="F204" s="12" t="s">
        <v>209</v>
      </c>
      <c r="G204" s="67" t="s">
        <v>122</v>
      </c>
      <c r="H204" s="77">
        <v>32</v>
      </c>
      <c r="I204" s="67" t="s">
        <v>50</v>
      </c>
      <c r="J204" s="12" t="str">
        <f t="shared" si="18"/>
        <v>п164</v>
      </c>
      <c r="K204" s="75" t="s">
        <v>51</v>
      </c>
    </row>
    <row r="205" spans="1:11" ht="30" x14ac:dyDescent="0.25">
      <c r="A205" s="68">
        <v>165</v>
      </c>
      <c r="B205" s="76" t="s">
        <v>52</v>
      </c>
      <c r="C205" s="67" t="s">
        <v>49</v>
      </c>
      <c r="D205" s="73">
        <v>1.19</v>
      </c>
      <c r="E205" s="69" t="s">
        <v>188</v>
      </c>
      <c r="F205" s="12" t="s">
        <v>209</v>
      </c>
      <c r="G205" s="67" t="s">
        <v>122</v>
      </c>
      <c r="H205" s="77">
        <v>32</v>
      </c>
      <c r="I205" s="67" t="s">
        <v>50</v>
      </c>
      <c r="J205" s="12" t="str">
        <f t="shared" si="18"/>
        <v>п165</v>
      </c>
      <c r="K205" s="75" t="s">
        <v>51</v>
      </c>
    </row>
    <row r="206" spans="1:11" ht="30" x14ac:dyDescent="0.25">
      <c r="A206" s="68">
        <v>166</v>
      </c>
      <c r="B206" s="76" t="s">
        <v>53</v>
      </c>
      <c r="C206" s="67" t="s">
        <v>49</v>
      </c>
      <c r="D206" s="73">
        <v>0.36</v>
      </c>
      <c r="E206" s="69" t="s">
        <v>189</v>
      </c>
      <c r="F206" s="12" t="s">
        <v>209</v>
      </c>
      <c r="G206" s="67" t="s">
        <v>122</v>
      </c>
      <c r="H206" s="77">
        <v>32</v>
      </c>
      <c r="I206" s="67" t="s">
        <v>50</v>
      </c>
      <c r="J206" s="12" t="str">
        <f t="shared" si="18"/>
        <v>п166</v>
      </c>
      <c r="K206" s="75" t="s">
        <v>51</v>
      </c>
    </row>
    <row r="207" spans="1:11" ht="30" x14ac:dyDescent="0.25">
      <c r="A207" s="68">
        <v>167</v>
      </c>
      <c r="B207" s="76" t="s">
        <v>54</v>
      </c>
      <c r="C207" s="67" t="s">
        <v>65</v>
      </c>
      <c r="D207" s="78">
        <v>88.4</v>
      </c>
      <c r="E207" s="80"/>
      <c r="F207" s="12" t="s">
        <v>209</v>
      </c>
      <c r="G207" s="67" t="s">
        <v>122</v>
      </c>
      <c r="H207" s="77">
        <v>32</v>
      </c>
      <c r="I207" s="75"/>
      <c r="J207" s="12" t="str">
        <f t="shared" si="18"/>
        <v>п167</v>
      </c>
      <c r="K207" s="75" t="s">
        <v>27</v>
      </c>
    </row>
    <row r="208" spans="1:11" x14ac:dyDescent="0.25">
      <c r="A208" s="104" t="s">
        <v>190</v>
      </c>
      <c r="B208" s="105"/>
      <c r="C208" s="105"/>
      <c r="D208" s="105"/>
      <c r="E208" s="105"/>
      <c r="F208" s="105"/>
      <c r="G208" s="105"/>
      <c r="H208" s="105"/>
      <c r="I208" s="105"/>
      <c r="J208" s="105"/>
      <c r="K208" s="106"/>
    </row>
    <row r="209" spans="1:11" ht="30" x14ac:dyDescent="0.25">
      <c r="A209" s="68">
        <v>168</v>
      </c>
      <c r="B209" s="83" t="s">
        <v>149</v>
      </c>
      <c r="C209" s="64" t="s">
        <v>150</v>
      </c>
      <c r="D209" s="84">
        <v>180.9</v>
      </c>
      <c r="E209" s="69" t="s">
        <v>191</v>
      </c>
      <c r="F209" s="12" t="s">
        <v>209</v>
      </c>
      <c r="G209" s="67" t="s">
        <v>122</v>
      </c>
      <c r="H209" s="77">
        <v>32</v>
      </c>
      <c r="I209" s="67"/>
      <c r="J209" s="12" t="str">
        <f t="shared" ref="J209:J222" si="19">IF(NOT(EXACT(LOWER(A209),UPPER(A209))),"",IF(A209&gt;0,"п"&amp;A209,""))</f>
        <v>п168</v>
      </c>
      <c r="K209" s="67" t="s">
        <v>27</v>
      </c>
    </row>
    <row r="210" spans="1:11" ht="75" x14ac:dyDescent="0.25">
      <c r="A210" s="68">
        <v>169</v>
      </c>
      <c r="B210" s="83" t="s">
        <v>151</v>
      </c>
      <c r="C210" s="64" t="s">
        <v>150</v>
      </c>
      <c r="D210" s="97">
        <v>228.55</v>
      </c>
      <c r="E210" s="96" t="s">
        <v>228</v>
      </c>
      <c r="F210" s="12" t="s">
        <v>209</v>
      </c>
      <c r="G210" s="67" t="s">
        <v>122</v>
      </c>
      <c r="H210" s="77">
        <v>32</v>
      </c>
      <c r="I210" s="98" t="s">
        <v>220</v>
      </c>
      <c r="J210" s="12" t="str">
        <f t="shared" si="19"/>
        <v>п169</v>
      </c>
      <c r="K210" s="67" t="s">
        <v>51</v>
      </c>
    </row>
    <row r="211" spans="1:11" ht="30" x14ac:dyDescent="0.25">
      <c r="A211" s="68">
        <v>170</v>
      </c>
      <c r="B211" s="83" t="s">
        <v>68</v>
      </c>
      <c r="C211" s="64" t="s">
        <v>65</v>
      </c>
      <c r="D211" s="84">
        <v>393.35</v>
      </c>
      <c r="E211" s="83"/>
      <c r="F211" s="12" t="s">
        <v>209</v>
      </c>
      <c r="G211" s="67" t="s">
        <v>122</v>
      </c>
      <c r="H211" s="77">
        <v>32</v>
      </c>
      <c r="I211" s="67"/>
      <c r="J211" s="12" t="str">
        <f t="shared" si="19"/>
        <v>п170</v>
      </c>
      <c r="K211" s="67" t="s">
        <v>27</v>
      </c>
    </row>
    <row r="212" spans="1:11" ht="45" x14ac:dyDescent="0.25">
      <c r="A212" s="68">
        <v>171</v>
      </c>
      <c r="B212" s="83" t="s">
        <v>152</v>
      </c>
      <c r="C212" s="64" t="s">
        <v>65</v>
      </c>
      <c r="D212" s="97">
        <v>440.55</v>
      </c>
      <c r="E212" s="96" t="s">
        <v>229</v>
      </c>
      <c r="F212" s="12" t="s">
        <v>209</v>
      </c>
      <c r="G212" s="67" t="s">
        <v>122</v>
      </c>
      <c r="H212" s="77">
        <v>32</v>
      </c>
      <c r="I212" s="67"/>
      <c r="J212" s="12" t="str">
        <f t="shared" si="19"/>
        <v>п171</v>
      </c>
      <c r="K212" s="67" t="s">
        <v>51</v>
      </c>
    </row>
    <row r="213" spans="1:11" ht="30" x14ac:dyDescent="0.25">
      <c r="A213" s="68">
        <v>172</v>
      </c>
      <c r="B213" s="63" t="s">
        <v>153</v>
      </c>
      <c r="C213" s="64" t="s">
        <v>65</v>
      </c>
      <c r="D213" s="84">
        <v>393.35</v>
      </c>
      <c r="E213" s="83"/>
      <c r="F213" s="12" t="s">
        <v>209</v>
      </c>
      <c r="G213" s="67" t="s">
        <v>122</v>
      </c>
      <c r="H213" s="77">
        <v>32</v>
      </c>
      <c r="I213" s="67"/>
      <c r="J213" s="12" t="str">
        <f t="shared" si="19"/>
        <v>п172</v>
      </c>
      <c r="K213" s="67" t="s">
        <v>27</v>
      </c>
    </row>
    <row r="214" spans="1:11" ht="75" x14ac:dyDescent="0.25">
      <c r="A214" s="68">
        <v>173</v>
      </c>
      <c r="B214" s="63" t="s">
        <v>154</v>
      </c>
      <c r="C214" s="64" t="s">
        <v>192</v>
      </c>
      <c r="D214" s="101" t="s">
        <v>230</v>
      </c>
      <c r="E214" s="96" t="s">
        <v>231</v>
      </c>
      <c r="F214" s="12" t="s">
        <v>209</v>
      </c>
      <c r="G214" s="67" t="s">
        <v>122</v>
      </c>
      <c r="H214" s="77">
        <v>32</v>
      </c>
      <c r="I214" s="98" t="s">
        <v>223</v>
      </c>
      <c r="J214" s="12" t="str">
        <f t="shared" si="19"/>
        <v>п173</v>
      </c>
      <c r="K214" s="67" t="s">
        <v>51</v>
      </c>
    </row>
    <row r="215" spans="1:11" ht="30" x14ac:dyDescent="0.25">
      <c r="A215" s="68">
        <v>174</v>
      </c>
      <c r="B215" s="83" t="s">
        <v>155</v>
      </c>
      <c r="C215" s="64" t="s">
        <v>36</v>
      </c>
      <c r="D215" s="84">
        <v>0.27</v>
      </c>
      <c r="E215" s="83" t="s">
        <v>193</v>
      </c>
      <c r="F215" s="12" t="s">
        <v>209</v>
      </c>
      <c r="G215" s="67" t="s">
        <v>122</v>
      </c>
      <c r="H215" s="77">
        <v>32</v>
      </c>
      <c r="I215" s="67" t="s">
        <v>89</v>
      </c>
      <c r="J215" s="12" t="str">
        <f t="shared" si="19"/>
        <v>п174</v>
      </c>
      <c r="K215" s="67" t="s">
        <v>27</v>
      </c>
    </row>
    <row r="216" spans="1:11" ht="30" x14ac:dyDescent="0.25">
      <c r="A216" s="68">
        <v>175</v>
      </c>
      <c r="B216" s="83" t="s">
        <v>157</v>
      </c>
      <c r="C216" s="64" t="s">
        <v>36</v>
      </c>
      <c r="D216" s="84">
        <v>0.28000000000000003</v>
      </c>
      <c r="E216" s="83" t="s">
        <v>194</v>
      </c>
      <c r="F216" s="12" t="s">
        <v>209</v>
      </c>
      <c r="G216" s="67" t="s">
        <v>122</v>
      </c>
      <c r="H216" s="77">
        <v>32</v>
      </c>
      <c r="I216" s="67" t="s">
        <v>70</v>
      </c>
      <c r="J216" s="12" t="str">
        <f t="shared" si="19"/>
        <v>п175</v>
      </c>
      <c r="K216" s="67" t="s">
        <v>51</v>
      </c>
    </row>
    <row r="217" spans="1:11" ht="30" x14ac:dyDescent="0.25">
      <c r="A217" s="68">
        <v>176</v>
      </c>
      <c r="B217" s="83" t="s">
        <v>159</v>
      </c>
      <c r="C217" s="64" t="s">
        <v>65</v>
      </c>
      <c r="D217" s="84">
        <v>393.35</v>
      </c>
      <c r="E217" s="83"/>
      <c r="F217" s="12" t="s">
        <v>209</v>
      </c>
      <c r="G217" s="67" t="s">
        <v>122</v>
      </c>
      <c r="H217" s="77">
        <v>32</v>
      </c>
      <c r="I217" s="67"/>
      <c r="J217" s="12" t="str">
        <f t="shared" si="19"/>
        <v>п176</v>
      </c>
      <c r="K217" s="67" t="s">
        <v>27</v>
      </c>
    </row>
    <row r="218" spans="1:11" ht="45" x14ac:dyDescent="0.25">
      <c r="A218" s="68">
        <v>177</v>
      </c>
      <c r="B218" s="96" t="s">
        <v>225</v>
      </c>
      <c r="C218" s="64" t="s">
        <v>36</v>
      </c>
      <c r="D218" s="84">
        <v>31.47</v>
      </c>
      <c r="E218" s="83" t="s">
        <v>195</v>
      </c>
      <c r="F218" s="12" t="s">
        <v>209</v>
      </c>
      <c r="G218" s="67" t="s">
        <v>122</v>
      </c>
      <c r="H218" s="77">
        <v>32</v>
      </c>
      <c r="I218" s="67" t="s">
        <v>161</v>
      </c>
      <c r="J218" s="12" t="str">
        <f t="shared" si="19"/>
        <v>п177</v>
      </c>
      <c r="K218" s="67" t="s">
        <v>51</v>
      </c>
    </row>
    <row r="219" spans="1:11" ht="30" x14ac:dyDescent="0.25">
      <c r="A219" s="68">
        <v>178</v>
      </c>
      <c r="B219" s="63" t="s">
        <v>162</v>
      </c>
      <c r="C219" s="64" t="s">
        <v>36</v>
      </c>
      <c r="D219" s="84">
        <v>0.11</v>
      </c>
      <c r="E219" s="83" t="s">
        <v>196</v>
      </c>
      <c r="F219" s="12" t="s">
        <v>209</v>
      </c>
      <c r="G219" s="67" t="s">
        <v>122</v>
      </c>
      <c r="H219" s="77">
        <v>32</v>
      </c>
      <c r="I219" s="67" t="s">
        <v>164</v>
      </c>
      <c r="J219" s="12" t="str">
        <f t="shared" si="19"/>
        <v>п178</v>
      </c>
      <c r="K219" s="67" t="s">
        <v>27</v>
      </c>
    </row>
    <row r="220" spans="1:11" ht="30" x14ac:dyDescent="0.25">
      <c r="A220" s="68">
        <v>179</v>
      </c>
      <c r="B220" s="83" t="s">
        <v>157</v>
      </c>
      <c r="C220" s="64" t="s">
        <v>36</v>
      </c>
      <c r="D220" s="84">
        <v>0.12</v>
      </c>
      <c r="E220" s="83" t="s">
        <v>197</v>
      </c>
      <c r="F220" s="12" t="s">
        <v>209</v>
      </c>
      <c r="G220" s="67" t="s">
        <v>122</v>
      </c>
      <c r="H220" s="77">
        <v>32</v>
      </c>
      <c r="I220" s="67" t="s">
        <v>70</v>
      </c>
      <c r="J220" s="12" t="str">
        <f t="shared" si="19"/>
        <v>п179</v>
      </c>
      <c r="K220" s="67" t="s">
        <v>51</v>
      </c>
    </row>
    <row r="221" spans="1:11" ht="30" x14ac:dyDescent="0.25">
      <c r="A221" s="68">
        <v>180</v>
      </c>
      <c r="B221" s="86" t="s">
        <v>69</v>
      </c>
      <c r="C221" s="64" t="s">
        <v>65</v>
      </c>
      <c r="D221" s="65">
        <v>393.35</v>
      </c>
      <c r="E221" s="83"/>
      <c r="F221" s="12" t="s">
        <v>209</v>
      </c>
      <c r="G221" s="67" t="s">
        <v>122</v>
      </c>
      <c r="H221" s="77">
        <v>32</v>
      </c>
      <c r="I221" s="64"/>
      <c r="J221" s="12" t="str">
        <f t="shared" si="19"/>
        <v>п180</v>
      </c>
      <c r="K221" s="67" t="s">
        <v>27</v>
      </c>
    </row>
    <row r="222" spans="1:11" ht="45" x14ac:dyDescent="0.25">
      <c r="A222" s="68">
        <v>181</v>
      </c>
      <c r="B222" s="52" t="s">
        <v>224</v>
      </c>
      <c r="C222" s="64" t="s">
        <v>36</v>
      </c>
      <c r="D222" s="65">
        <v>50.84</v>
      </c>
      <c r="E222" s="83" t="s">
        <v>198</v>
      </c>
      <c r="F222" s="12" t="s">
        <v>209</v>
      </c>
      <c r="G222" s="67" t="s">
        <v>122</v>
      </c>
      <c r="H222" s="77">
        <v>32</v>
      </c>
      <c r="I222" s="67" t="s">
        <v>166</v>
      </c>
      <c r="J222" s="12" t="str">
        <f t="shared" si="19"/>
        <v>п181</v>
      </c>
      <c r="K222" s="67" t="s">
        <v>51</v>
      </c>
    </row>
    <row r="223" spans="1:11" x14ac:dyDescent="0.25">
      <c r="A223" s="103" t="s">
        <v>167</v>
      </c>
      <c r="B223" s="103"/>
      <c r="C223" s="103"/>
      <c r="D223" s="103"/>
      <c r="E223" s="103"/>
      <c r="F223" s="103"/>
      <c r="G223" s="103"/>
      <c r="H223" s="103"/>
      <c r="I223" s="103"/>
      <c r="J223" s="60"/>
      <c r="K223" s="61"/>
    </row>
    <row r="224" spans="1:11" ht="30" x14ac:dyDescent="0.25">
      <c r="A224" s="68">
        <v>182</v>
      </c>
      <c r="B224" s="88" t="s">
        <v>169</v>
      </c>
      <c r="C224" s="64" t="s">
        <v>127</v>
      </c>
      <c r="D224" s="65">
        <v>61.18</v>
      </c>
      <c r="E224" s="89" t="s">
        <v>199</v>
      </c>
      <c r="F224" s="12" t="s">
        <v>209</v>
      </c>
      <c r="G224" s="67" t="s">
        <v>122</v>
      </c>
      <c r="H224" s="77">
        <v>32</v>
      </c>
      <c r="I224" s="68" t="s">
        <v>170</v>
      </c>
      <c r="J224" s="12" t="str">
        <f t="shared" ref="J224:J228" si="20">IF(NOT(EXACT(LOWER(A224),UPPER(A224))),"",IF(A224&gt;0,"п"&amp;A224,""))</f>
        <v>п182</v>
      </c>
      <c r="K224" s="67" t="s">
        <v>27</v>
      </c>
    </row>
    <row r="225" spans="1:11" ht="45" x14ac:dyDescent="0.25">
      <c r="A225" s="68">
        <v>183</v>
      </c>
      <c r="B225" s="88" t="s">
        <v>58</v>
      </c>
      <c r="C225" s="64" t="s">
        <v>66</v>
      </c>
      <c r="D225" s="101">
        <v>16.04</v>
      </c>
      <c r="E225" s="100" t="s">
        <v>234</v>
      </c>
      <c r="F225" s="12" t="s">
        <v>209</v>
      </c>
      <c r="G225" s="67" t="s">
        <v>122</v>
      </c>
      <c r="H225" s="77">
        <v>32</v>
      </c>
      <c r="I225" s="98" t="s">
        <v>233</v>
      </c>
      <c r="J225" s="12" t="str">
        <f t="shared" si="20"/>
        <v>п183</v>
      </c>
      <c r="K225" s="67" t="s">
        <v>51</v>
      </c>
    </row>
    <row r="226" spans="1:11" ht="90" x14ac:dyDescent="0.25">
      <c r="A226" s="68">
        <v>184</v>
      </c>
      <c r="B226" s="88" t="s">
        <v>171</v>
      </c>
      <c r="C226" s="64" t="s">
        <v>61</v>
      </c>
      <c r="D226" s="65">
        <v>174.8</v>
      </c>
      <c r="E226" s="90"/>
      <c r="F226" s="12" t="s">
        <v>209</v>
      </c>
      <c r="G226" s="67" t="s">
        <v>122</v>
      </c>
      <c r="H226" s="77">
        <v>32</v>
      </c>
      <c r="I226" s="68" t="s">
        <v>172</v>
      </c>
      <c r="J226" s="12" t="str">
        <f t="shared" si="20"/>
        <v>п184</v>
      </c>
      <c r="K226" s="67" t="s">
        <v>27</v>
      </c>
    </row>
    <row r="227" spans="1:11" ht="30" x14ac:dyDescent="0.25">
      <c r="A227" s="68">
        <v>185</v>
      </c>
      <c r="B227" s="88" t="s">
        <v>62</v>
      </c>
      <c r="C227" s="64" t="s">
        <v>66</v>
      </c>
      <c r="D227" s="65">
        <v>9.8000000000000007</v>
      </c>
      <c r="E227" s="90" t="s">
        <v>200</v>
      </c>
      <c r="F227" s="12" t="s">
        <v>209</v>
      </c>
      <c r="G227" s="67" t="s">
        <v>122</v>
      </c>
      <c r="H227" s="77">
        <v>32</v>
      </c>
      <c r="I227" s="68"/>
      <c r="J227" s="12" t="str">
        <f t="shared" si="20"/>
        <v>п185</v>
      </c>
      <c r="K227" s="67" t="s">
        <v>51</v>
      </c>
    </row>
    <row r="228" spans="1:11" ht="60" x14ac:dyDescent="0.25">
      <c r="A228" s="68">
        <v>186</v>
      </c>
      <c r="B228" s="88" t="s">
        <v>179</v>
      </c>
      <c r="C228" s="64" t="s">
        <v>125</v>
      </c>
      <c r="D228" s="65">
        <v>174.8</v>
      </c>
      <c r="E228" s="90"/>
      <c r="F228" s="12" t="s">
        <v>209</v>
      </c>
      <c r="G228" s="67" t="s">
        <v>122</v>
      </c>
      <c r="H228" s="77">
        <v>32</v>
      </c>
      <c r="I228" s="68" t="s">
        <v>180</v>
      </c>
      <c r="J228" s="12" t="str">
        <f t="shared" si="20"/>
        <v>п186</v>
      </c>
      <c r="K228" s="67" t="s">
        <v>51</v>
      </c>
    </row>
  </sheetData>
  <sheetProtection formatCells="0" formatRows="0" insertRows="0" insertHyperlinks="0" deleteRows="0" sort="0" autoFilter="0" pivotTables="0"/>
  <mergeCells count="21">
    <mergeCell ref="A68:I68"/>
    <mergeCell ref="A76:I76"/>
    <mergeCell ref="A89:I89"/>
    <mergeCell ref="A100:I100"/>
    <mergeCell ref="A110:I110"/>
    <mergeCell ref="A60:I60"/>
    <mergeCell ref="A18:I18"/>
    <mergeCell ref="A26:I26"/>
    <mergeCell ref="A50:I50"/>
    <mergeCell ref="A39:I39"/>
    <mergeCell ref="A159:K159"/>
    <mergeCell ref="A117:I117"/>
    <mergeCell ref="A125:I125"/>
    <mergeCell ref="A138:I138"/>
    <mergeCell ref="A149:I149"/>
    <mergeCell ref="A174:I174"/>
    <mergeCell ref="A208:K208"/>
    <mergeCell ref="A223:I223"/>
    <mergeCell ref="A185:I185"/>
    <mergeCell ref="A187:I187"/>
    <mergeCell ref="A195:I195"/>
  </mergeCells>
  <phoneticPr fontId="8" type="noConversion"/>
  <pageMargins left="0.31496062992125984" right="0.31496062992125984" top="0.74803149606299213" bottom="0.35433070866141736" header="0.11811023622047245" footer="0.11811023622047245"/>
  <pageSetup paperSize="9" scale="51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ВОР для импорта</vt:lpstr>
      <vt:lpstr>'ВОР для импорта'!Область_печати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2026-09-08T18:28:59Z</dcterms:modified>
</cp:coreProperties>
</file>