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filterPrivacy="1"/>
  <xr:revisionPtr revIDLastSave="0" documentId="13_ncr:1_{0FDE0ECA-EA8D-4466-A4F9-FAC1A0D03858}" xr6:coauthVersionLast="47" xr6:coauthVersionMax="47" xr10:uidLastSave="{00000000-0000-0000-0000-000000000000}"/>
  <bookViews>
    <workbookView xWindow="11220" yWindow="120" windowWidth="17205" windowHeight="14925" xr2:uid="{00000000-000D-0000-FFFF-FFFF00000000}"/>
  </bookViews>
  <sheets>
    <sheet name="Вариант для импорта" sheetId="4" r:id="rId1"/>
  </sheets>
  <externalReferences>
    <externalReference r:id="rId2"/>
  </externalReferences>
  <definedNames>
    <definedName name="_xlnm.Print_Area" localSheetId="0">'Вариант для импорта'!$A$1:$K$115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230" i="4" l="1"/>
  <c r="D541" i="4"/>
  <c r="D540" i="4"/>
  <c r="D537" i="4"/>
  <c r="D534" i="4"/>
  <c r="D533" i="4"/>
  <c r="D532" i="4"/>
  <c r="D529" i="4"/>
  <c r="D522" i="4"/>
  <c r="D523" i="4" s="1"/>
  <c r="D524" i="4"/>
  <c r="D520" i="4"/>
  <c r="D543" i="4"/>
  <c r="D538" i="4"/>
  <c r="D535" i="4"/>
  <c r="D536" i="4" s="1"/>
  <c r="A520" i="4"/>
  <c r="A521" i="4" s="1"/>
  <c r="A522" i="4" s="1"/>
  <c r="A523" i="4" s="1"/>
  <c r="A524" i="4" s="1"/>
  <c r="A525" i="4" s="1"/>
  <c r="A526" i="4" s="1"/>
  <c r="A527" i="4" s="1"/>
  <c r="A529" i="4" s="1"/>
  <c r="A530" i="4" s="1"/>
  <c r="A531" i="4" s="1"/>
  <c r="A532" i="4" s="1"/>
  <c r="A533" i="4" s="1"/>
  <c r="A534" i="4" s="1"/>
  <c r="A535" i="4" s="1"/>
  <c r="A536" i="4" s="1"/>
  <c r="A537" i="4" s="1"/>
  <c r="A538" i="4" s="1"/>
  <c r="A539" i="4" s="1"/>
  <c r="A540" i="4" s="1"/>
  <c r="A541" i="4" s="1"/>
  <c r="A542" i="4" s="1"/>
  <c r="A543" i="4" s="1"/>
  <c r="D513" i="4"/>
  <c r="D508" i="4"/>
  <c r="D507" i="4"/>
  <c r="D531" i="4" l="1"/>
  <c r="D521" i="4"/>
  <c r="D525" i="4"/>
  <c r="D527" i="4" s="1"/>
  <c r="D526" i="4"/>
  <c r="D530" i="4"/>
  <c r="D542" i="4"/>
  <c r="A509" i="4"/>
  <c r="A508" i="4"/>
  <c r="A507" i="4"/>
  <c r="A505" i="4"/>
  <c r="D517" i="4" l="1"/>
  <c r="D516" i="4"/>
  <c r="D514" i="4"/>
  <c r="D512" i="4"/>
  <c r="D511" i="4"/>
  <c r="D509" i="4"/>
  <c r="D510" i="4" s="1"/>
  <c r="D502" i="4"/>
  <c r="D504" i="4"/>
  <c r="D505" i="4" l="1"/>
  <c r="D515" i="4"/>
  <c r="D503" i="4"/>
  <c r="D486" i="4" l="1"/>
  <c r="D499" i="4"/>
  <c r="D495" i="4"/>
  <c r="D498" i="4" s="1"/>
  <c r="D496" i="4" l="1"/>
  <c r="D497" i="4"/>
  <c r="D484" i="4" l="1"/>
  <c r="D487" i="4"/>
  <c r="D493" i="4" s="1"/>
  <c r="D482" i="4"/>
  <c r="D480" i="4"/>
  <c r="D481" i="4" s="1"/>
  <c r="D477" i="4"/>
  <c r="D492" i="4" l="1"/>
  <c r="D488" i="4"/>
  <c r="D490" i="4"/>
  <c r="D494" i="4"/>
  <c r="D491" i="4" s="1"/>
  <c r="D489" i="4"/>
  <c r="D485" i="4"/>
  <c r="D483" i="4"/>
  <c r="D478" i="4"/>
  <c r="D337" i="4"/>
  <c r="D335" i="4"/>
  <c r="D270" i="4"/>
  <c r="D268" i="4"/>
  <c r="D113" i="4"/>
  <c r="D115" i="4" s="1"/>
  <c r="D111" i="4"/>
  <c r="D112" i="4" s="1"/>
  <c r="D110" i="4"/>
  <c r="D109" i="4"/>
  <c r="D106" i="4"/>
  <c r="D107" i="4" s="1"/>
  <c r="D101" i="4"/>
  <c r="D31" i="4"/>
  <c r="D33" i="4" s="1"/>
  <c r="D29" i="4"/>
  <c r="D30" i="4" s="1"/>
  <c r="D28" i="4"/>
  <c r="D27" i="4"/>
  <c r="D24" i="4"/>
  <c r="D25" i="4" s="1"/>
  <c r="D19" i="4"/>
  <c r="D36" i="4"/>
  <c r="D40" i="4"/>
  <c r="D62" i="4"/>
  <c r="D60" i="4"/>
  <c r="D59" i="4"/>
  <c r="D108" i="4" l="1"/>
  <c r="D114" i="4"/>
  <c r="D26" i="4"/>
  <c r="D103" i="4"/>
  <c r="D104" i="4" s="1"/>
  <c r="D21" i="4"/>
  <c r="D22" i="4" s="1"/>
  <c r="D32" i="4"/>
  <c r="D102" i="4" l="1"/>
  <c r="D20" i="4"/>
  <c r="D58" i="4"/>
  <c r="D55" i="4"/>
  <c r="D42" i="4" s="1"/>
  <c r="D41" i="4" s="1"/>
  <c r="D52" i="4"/>
  <c r="D54" i="4" s="1"/>
  <c r="D50" i="4"/>
  <c r="D51" i="4" s="1"/>
  <c r="D49" i="4"/>
  <c r="D48" i="4"/>
  <c r="D45" i="4"/>
  <c r="D53" i="4"/>
  <c r="D468" i="4"/>
  <c r="D469" i="4"/>
  <c r="D447" i="4"/>
  <c r="D208" i="4"/>
  <c r="D207" i="4"/>
  <c r="D186" i="4"/>
  <c r="D458" i="4"/>
  <c r="D456" i="4"/>
  <c r="D472" i="4"/>
  <c r="D474" i="4" s="1"/>
  <c r="D470" i="4"/>
  <c r="D471" i="4" s="1"/>
  <c r="D465" i="4"/>
  <c r="D451" i="4"/>
  <c r="D452" i="4" s="1"/>
  <c r="D448" i="4"/>
  <c r="D449" i="4"/>
  <c r="D450" i="4" s="1"/>
  <c r="D444" i="4"/>
  <c r="D437" i="4"/>
  <c r="D438" i="4" s="1"/>
  <c r="D435" i="4"/>
  <c r="D436" i="4" l="1"/>
  <c r="D439" i="4"/>
  <c r="D440" i="4" s="1"/>
  <c r="D446" i="4"/>
  <c r="D467" i="4"/>
  <c r="D46" i="4"/>
  <c r="D38" i="4"/>
  <c r="D453" i="4"/>
  <c r="D457" i="4"/>
  <c r="D459" i="4"/>
  <c r="D47" i="4"/>
  <c r="D460" i="4"/>
  <c r="D461" i="4" s="1"/>
  <c r="D466" i="4"/>
  <c r="D473" i="4"/>
  <c r="D445" i="4"/>
  <c r="D441" i="4"/>
  <c r="D430" i="4"/>
  <c r="D431" i="4" s="1"/>
  <c r="D428" i="4"/>
  <c r="D429" i="4" s="1"/>
  <c r="D427" i="4"/>
  <c r="D426" i="4"/>
  <c r="D423" i="4"/>
  <c r="D424" i="4" s="1"/>
  <c r="D418" i="4"/>
  <c r="D442" i="4" l="1"/>
  <c r="D463" i="4"/>
  <c r="D462" i="4"/>
  <c r="D39" i="4"/>
  <c r="D37" i="4"/>
  <c r="D425" i="4"/>
  <c r="D432" i="4"/>
  <c r="D420" i="4"/>
  <c r="D421" i="4" s="1"/>
  <c r="D419" i="4" l="1"/>
  <c r="D413" i="4"/>
  <c r="D415" i="4" s="1"/>
  <c r="D411" i="4"/>
  <c r="D412" i="4" s="1"/>
  <c r="D410" i="4"/>
  <c r="D409" i="4"/>
  <c r="D406" i="4"/>
  <c r="D399" i="4"/>
  <c r="D400" i="4" s="1"/>
  <c r="D398" i="4"/>
  <c r="D397" i="4"/>
  <c r="D393" i="4"/>
  <c r="D394" i="4" s="1"/>
  <c r="D389" i="4"/>
  <c r="D388" i="4"/>
  <c r="D387" i="4"/>
  <c r="D386" i="4"/>
  <c r="D376" i="4" s="1"/>
  <c r="D384" i="4"/>
  <c r="D385" i="4" s="1"/>
  <c r="D382" i="4"/>
  <c r="D383" i="4" s="1"/>
  <c r="D380" i="4"/>
  <c r="D381" i="4" s="1"/>
  <c r="D377" i="4"/>
  <c r="D372" i="4"/>
  <c r="D373" i="4" s="1"/>
  <c r="D370" i="4"/>
  <c r="D371" i="4" s="1"/>
  <c r="D367" i="4"/>
  <c r="D369" i="4" s="1"/>
  <c r="D364" i="4"/>
  <c r="D365" i="4" s="1"/>
  <c r="D363" i="4"/>
  <c r="D360" i="4"/>
  <c r="D361" i="4" s="1"/>
  <c r="D359" i="4"/>
  <c r="D358" i="4"/>
  <c r="D357" i="4"/>
  <c r="D354" i="4"/>
  <c r="D355" i="4" s="1"/>
  <c r="D353" i="4"/>
  <c r="D352" i="4"/>
  <c r="D348" i="4"/>
  <c r="D349" i="4" s="1"/>
  <c r="D347" i="4"/>
  <c r="D346" i="4"/>
  <c r="D342" i="4"/>
  <c r="D344" i="4" s="1"/>
  <c r="D340" i="4"/>
  <c r="D341" i="4" s="1"/>
  <c r="D336" i="4"/>
  <c r="D334" i="4" s="1"/>
  <c r="D332" i="4"/>
  <c r="D333" i="4" s="1"/>
  <c r="D330" i="4"/>
  <c r="D331" i="4" s="1"/>
  <c r="D329" i="4"/>
  <c r="D328" i="4"/>
  <c r="D324" i="4"/>
  <c r="D326" i="4" s="1"/>
  <c r="D322" i="4"/>
  <c r="D323" i="4" s="1"/>
  <c r="D320" i="4"/>
  <c r="D321" i="4" s="1"/>
  <c r="D318" i="4"/>
  <c r="D319" i="4" s="1"/>
  <c r="D311" i="4"/>
  <c r="D312" i="4" s="1"/>
  <c r="D309" i="4"/>
  <c r="D305" i="4"/>
  <c r="D306" i="4" s="1"/>
  <c r="D303" i="4"/>
  <c r="D304" i="4" s="1"/>
  <c r="D300" i="4"/>
  <c r="D302" i="4" s="1"/>
  <c r="D297" i="4"/>
  <c r="D299" i="4" s="1"/>
  <c r="D296" i="4"/>
  <c r="D293" i="4"/>
  <c r="D294" i="4" s="1"/>
  <c r="D292" i="4"/>
  <c r="D291" i="4"/>
  <c r="D290" i="4"/>
  <c r="D287" i="4"/>
  <c r="D288" i="4" s="1"/>
  <c r="D285" i="4"/>
  <c r="D284" i="4" s="1"/>
  <c r="D281" i="4"/>
  <c r="D282" i="4" s="1"/>
  <c r="D280" i="4"/>
  <c r="D279" i="4"/>
  <c r="D275" i="4"/>
  <c r="D277" i="4" s="1"/>
  <c r="D273" i="4"/>
  <c r="D274" i="4" s="1"/>
  <c r="D269" i="4"/>
  <c r="D267" i="4" s="1"/>
  <c r="D265" i="4"/>
  <c r="D266" i="4" s="1"/>
  <c r="D263" i="4"/>
  <c r="D264" i="4" s="1"/>
  <c r="D262" i="4"/>
  <c r="D261" i="4"/>
  <c r="D257" i="4"/>
  <c r="D259" i="4" s="1"/>
  <c r="D255" i="4"/>
  <c r="D256" i="4" s="1"/>
  <c r="D253" i="4"/>
  <c r="D254" i="4" s="1"/>
  <c r="D251" i="4"/>
  <c r="D244" i="4"/>
  <c r="D245" i="4" s="1"/>
  <c r="D242" i="4"/>
  <c r="D237" i="4"/>
  <c r="D238" i="4" s="1"/>
  <c r="D233" i="4"/>
  <c r="D234" i="4" s="1"/>
  <c r="D231" i="4"/>
  <c r="D232" i="4" s="1"/>
  <c r="D229" i="4"/>
  <c r="D228" i="4"/>
  <c r="D227" i="4" s="1"/>
  <c r="D225" i="4"/>
  <c r="D226" i="4" s="1"/>
  <c r="D218" i="4"/>
  <c r="D219" i="4" s="1"/>
  <c r="D216" i="4"/>
  <c r="D211" i="4"/>
  <c r="D213" i="4" s="1"/>
  <c r="D209" i="4"/>
  <c r="D210" i="4" s="1"/>
  <c r="D206" i="4"/>
  <c r="D204" i="4"/>
  <c r="D205" i="4" s="1"/>
  <c r="D197" i="4"/>
  <c r="D198" i="4" s="1"/>
  <c r="D195" i="4"/>
  <c r="D190" i="4"/>
  <c r="D192" i="4" s="1"/>
  <c r="D188" i="4"/>
  <c r="D189" i="4" s="1"/>
  <c r="D187" i="4"/>
  <c r="D185" i="4" s="1"/>
  <c r="D183" i="4"/>
  <c r="D184" i="4" s="1"/>
  <c r="D176" i="4"/>
  <c r="D177" i="4" s="1"/>
  <c r="D174" i="4"/>
  <c r="D170" i="4"/>
  <c r="D171" i="4" s="1"/>
  <c r="D168" i="4"/>
  <c r="D169" i="4" s="1"/>
  <c r="D167" i="4"/>
  <c r="D166" i="4"/>
  <c r="D161" i="4"/>
  <c r="D163" i="4" s="1"/>
  <c r="D158" i="4"/>
  <c r="D160" i="4" s="1"/>
  <c r="D156" i="4"/>
  <c r="D155" i="4"/>
  <c r="D154" i="4"/>
  <c r="D157" i="4" s="1"/>
  <c r="D151" i="4"/>
  <c r="D150" i="4"/>
  <c r="D149" i="4"/>
  <c r="D146" i="4"/>
  <c r="D144" i="4"/>
  <c r="D143" i="4"/>
  <c r="D141" i="4"/>
  <c r="D142" i="4" s="1"/>
  <c r="D139" i="4"/>
  <c r="D136" i="4"/>
  <c r="D135" i="4"/>
  <c r="D327" i="4" l="1"/>
  <c r="D289" i="4"/>
  <c r="D283" i="4"/>
  <c r="D246" i="4"/>
  <c r="D248" i="4" s="1"/>
  <c r="D243" i="4"/>
  <c r="D408" i="4"/>
  <c r="D351" i="4"/>
  <c r="D220" i="4"/>
  <c r="D221" i="4" s="1"/>
  <c r="D223" i="4" s="1"/>
  <c r="D276" i="4"/>
  <c r="D199" i="4"/>
  <c r="D202" i="4" s="1"/>
  <c r="D239" i="4"/>
  <c r="D178" i="4"/>
  <c r="D181" i="4" s="1"/>
  <c r="D378" i="4"/>
  <c r="D301" i="4"/>
  <c r="D252" i="4"/>
  <c r="D138" i="4"/>
  <c r="D310" i="4"/>
  <c r="D356" i="4"/>
  <c r="D325" i="4"/>
  <c r="D191" i="4"/>
  <c r="D212" i="4"/>
  <c r="D260" i="4"/>
  <c r="D298" i="4"/>
  <c r="D401" i="4"/>
  <c r="D402" i="4" s="1"/>
  <c r="D404" i="4" s="1"/>
  <c r="D407" i="4"/>
  <c r="D313" i="4"/>
  <c r="D366" i="4"/>
  <c r="D164" i="4"/>
  <c r="D165" i="4" s="1"/>
  <c r="D137" i="4"/>
  <c r="D343" i="4"/>
  <c r="D368" i="4"/>
  <c r="D159" i="4"/>
  <c r="D258" i="4"/>
  <c r="D350" i="4"/>
  <c r="D175" i="4"/>
  <c r="D196" i="4"/>
  <c r="D217" i="4"/>
  <c r="D414" i="4"/>
  <c r="D162" i="4"/>
  <c r="D222" i="4" l="1"/>
  <c r="D247" i="4"/>
  <c r="D249" i="4"/>
  <c r="D201" i="4"/>
  <c r="D200" i="4"/>
  <c r="D179" i="4"/>
  <c r="D180" i="4"/>
  <c r="D403" i="4"/>
  <c r="D314" i="4"/>
  <c r="D316" i="4"/>
  <c r="D315" i="4"/>
  <c r="A135" i="4" l="1"/>
  <c r="A136" i="4" s="1"/>
  <c r="A137" i="4" s="1"/>
  <c r="A138" i="4" s="1"/>
  <c r="A139" i="4" s="1"/>
  <c r="A141" i="4" s="1"/>
  <c r="A142" i="4" s="1"/>
  <c r="A143" i="4" s="1"/>
  <c r="A144" i="4" s="1"/>
  <c r="A145" i="4" s="1"/>
  <c r="A146" i="4" s="1"/>
  <c r="A147" i="4" s="1"/>
  <c r="A148" i="4" s="1"/>
  <c r="A149" i="4" s="1"/>
  <c r="A150" i="4" s="1"/>
  <c r="A151" i="4" s="1"/>
  <c r="A152" i="4" s="1"/>
  <c r="A153" i="4" s="1"/>
  <c r="A154" i="4" s="1"/>
  <c r="A155" i="4" s="1"/>
  <c r="A156" i="4" s="1"/>
  <c r="A157" i="4" s="1"/>
  <c r="A158" i="4" s="1"/>
  <c r="A159" i="4" s="1"/>
  <c r="A160" i="4" s="1"/>
  <c r="A161" i="4" s="1"/>
  <c r="A162" i="4" s="1"/>
  <c r="A163" i="4" s="1"/>
  <c r="A164" i="4" s="1"/>
  <c r="A165" i="4" s="1"/>
  <c r="A166" i="4" s="1"/>
  <c r="A167" i="4" s="1"/>
  <c r="A168" i="4" s="1"/>
  <c r="A169" i="4" s="1"/>
  <c r="A170" i="4" s="1"/>
  <c r="A171" i="4" s="1"/>
  <c r="A174" i="4" s="1"/>
  <c r="A175" i="4" s="1"/>
  <c r="A176" i="4" s="1"/>
  <c r="A177" i="4" s="1"/>
  <c r="A178" i="4" s="1"/>
  <c r="A179" i="4" s="1"/>
  <c r="A180" i="4" s="1"/>
  <c r="A181" i="4" s="1"/>
  <c r="A183" i="4" s="1"/>
  <c r="A184" i="4" s="1"/>
  <c r="A185" i="4" s="1"/>
  <c r="A186" i="4" s="1"/>
  <c r="A187" i="4" s="1"/>
  <c r="A188" i="4" s="1"/>
  <c r="A189" i="4" s="1"/>
  <c r="A190" i="4" s="1"/>
  <c r="A191" i="4" s="1"/>
  <c r="A192" i="4" s="1"/>
  <c r="A195" i="4" s="1"/>
  <c r="A196" i="4" s="1"/>
  <c r="A197" i="4" s="1"/>
  <c r="A198" i="4" s="1"/>
  <c r="A199" i="4" s="1"/>
  <c r="A200" i="4" s="1"/>
  <c r="A201" i="4" s="1"/>
  <c r="A202" i="4" s="1"/>
  <c r="A204" i="4" s="1"/>
  <c r="A205" i="4" s="1"/>
  <c r="A206" i="4" s="1"/>
  <c r="A207" i="4" s="1"/>
  <c r="A208" i="4" s="1"/>
  <c r="A209" i="4" s="1"/>
  <c r="A210" i="4" s="1"/>
  <c r="A211" i="4" s="1"/>
  <c r="A212" i="4" s="1"/>
  <c r="A213" i="4" s="1"/>
  <c r="A216" i="4" s="1"/>
  <c r="A217" i="4" s="1"/>
  <c r="A218" i="4" s="1"/>
  <c r="A219" i="4" s="1"/>
  <c r="A220" i="4" s="1"/>
  <c r="A221" i="4" s="1"/>
  <c r="A222" i="4" s="1"/>
  <c r="A223" i="4" s="1"/>
  <c r="A225" i="4" s="1"/>
  <c r="A226" i="4" s="1"/>
  <c r="A227" i="4" s="1"/>
  <c r="A228" i="4" s="1"/>
  <c r="A229" i="4" s="1"/>
  <c r="A230" i="4" s="1"/>
  <c r="A231" i="4" s="1"/>
  <c r="A232" i="4" s="1"/>
  <c r="A233" i="4" s="1"/>
  <c r="A234" i="4" s="1"/>
  <c r="A235" i="4" l="1"/>
  <c r="A236" i="4" s="1"/>
  <c r="A237" i="4" s="1"/>
  <c r="A238" i="4" s="1"/>
  <c r="A239" i="4" s="1"/>
  <c r="A242" i="4" s="1"/>
  <c r="A243" i="4" s="1"/>
  <c r="A244" i="4" s="1"/>
  <c r="A245" i="4" s="1"/>
  <c r="A246" i="4" s="1"/>
  <c r="A247" i="4" s="1"/>
  <c r="A248" i="4" s="1"/>
  <c r="A249" i="4" s="1"/>
  <c r="A251" i="4" s="1"/>
  <c r="A252" i="4" s="1"/>
  <c r="A253" i="4" s="1"/>
  <c r="A254" i="4" s="1"/>
  <c r="A255" i="4" s="1"/>
  <c r="A256" i="4" s="1"/>
  <c r="A257" i="4" s="1"/>
  <c r="A258" i="4" s="1"/>
  <c r="A259" i="4" s="1"/>
  <c r="A260" i="4" s="1"/>
  <c r="A261" i="4" s="1"/>
  <c r="A262" i="4" s="1"/>
  <c r="A263" i="4" s="1"/>
  <c r="A264" i="4" s="1"/>
  <c r="A265" i="4" s="1"/>
  <c r="A266" i="4" s="1"/>
  <c r="A267" i="4" s="1"/>
  <c r="A268" i="4" s="1"/>
  <c r="A269" i="4" s="1"/>
  <c r="A270" i="4" s="1"/>
  <c r="A271" i="4" s="1"/>
  <c r="A272" i="4" s="1"/>
  <c r="A273" i="4" s="1"/>
  <c r="A274" i="4" s="1"/>
  <c r="A275" i="4" s="1"/>
  <c r="A276" i="4" s="1"/>
  <c r="A277" i="4" s="1"/>
  <c r="A278" i="4" s="1"/>
  <c r="A279" i="4" s="1"/>
  <c r="A280" i="4" s="1"/>
  <c r="A281" i="4" s="1"/>
  <c r="A282" i="4" s="1"/>
  <c r="A283" i="4" s="1"/>
  <c r="A284" i="4" s="1"/>
  <c r="A285" i="4" s="1"/>
  <c r="A286" i="4" s="1"/>
  <c r="A287" i="4" s="1"/>
  <c r="A288" i="4" s="1"/>
  <c r="A289" i="4" s="1"/>
  <c r="A290" i="4" s="1"/>
  <c r="A291" i="4" s="1"/>
  <c r="A292" i="4" s="1"/>
  <c r="A293" i="4" s="1"/>
  <c r="A294" i="4" s="1"/>
  <c r="A295" i="4" s="1"/>
  <c r="A296" i="4" s="1"/>
  <c r="A297" i="4" s="1"/>
  <c r="A298" i="4" s="1"/>
  <c r="A299" i="4" s="1"/>
  <c r="A300" i="4" s="1"/>
  <c r="A301" i="4" s="1"/>
  <c r="A302" i="4" s="1"/>
  <c r="A303" i="4" s="1"/>
  <c r="A304" i="4" s="1"/>
  <c r="A305" i="4" s="1"/>
  <c r="A306" i="4" s="1"/>
  <c r="A309" i="4" s="1"/>
  <c r="A310" i="4" s="1"/>
  <c r="A311" i="4" s="1"/>
  <c r="A312" i="4" s="1"/>
  <c r="A313" i="4" s="1"/>
  <c r="A314" i="4" s="1"/>
  <c r="A315" i="4" s="1"/>
  <c r="A316" i="4" s="1"/>
  <c r="A318" i="4" s="1"/>
  <c r="A319" i="4" s="1"/>
  <c r="A320" i="4" s="1"/>
  <c r="A321" i="4" s="1"/>
  <c r="A322" i="4" s="1"/>
  <c r="A323" i="4" s="1"/>
  <c r="A324" i="4" s="1"/>
  <c r="A325" i="4" s="1"/>
  <c r="A326" i="4" s="1"/>
  <c r="A327" i="4" s="1"/>
  <c r="A328" i="4" s="1"/>
  <c r="A329" i="4" s="1"/>
  <c r="A330" i="4" s="1"/>
  <c r="A331" i="4" s="1"/>
  <c r="A332" i="4" s="1"/>
  <c r="A333" i="4" s="1"/>
  <c r="A334" i="4" s="1"/>
  <c r="A335" i="4" s="1"/>
  <c r="A336" i="4" s="1"/>
  <c r="A337" i="4" s="1"/>
  <c r="D79" i="4"/>
  <c r="D77" i="4"/>
  <c r="D76" i="4"/>
  <c r="D75" i="4"/>
  <c r="D72" i="4"/>
  <c r="D67" i="4"/>
  <c r="D69" i="4" s="1"/>
  <c r="A338" i="4" l="1"/>
  <c r="D130" i="4"/>
  <c r="D131" i="4" s="1"/>
  <c r="D128" i="4"/>
  <c r="D129" i="4" s="1"/>
  <c r="D127" i="4"/>
  <c r="D126" i="4"/>
  <c r="D123" i="4"/>
  <c r="D124" i="4" s="1"/>
  <c r="D118" i="4"/>
  <c r="D84" i="4"/>
  <c r="D120" i="4" l="1"/>
  <c r="D121" i="4" s="1"/>
  <c r="A339" i="4"/>
  <c r="A340" i="4" s="1"/>
  <c r="A341" i="4" s="1"/>
  <c r="A342" i="4" s="1"/>
  <c r="A343" i="4" s="1"/>
  <c r="A344" i="4" s="1"/>
  <c r="A345" i="4" s="1"/>
  <c r="A346" i="4" s="1"/>
  <c r="A347" i="4" s="1"/>
  <c r="A348" i="4" s="1"/>
  <c r="A349" i="4" s="1"/>
  <c r="A350" i="4" s="1"/>
  <c r="A351" i="4" s="1"/>
  <c r="A352" i="4" s="1"/>
  <c r="A353" i="4" s="1"/>
  <c r="A354" i="4" s="1"/>
  <c r="A355" i="4" s="1"/>
  <c r="A356" i="4" s="1"/>
  <c r="A357" i="4" s="1"/>
  <c r="A358" i="4" s="1"/>
  <c r="A359" i="4" s="1"/>
  <c r="A360" i="4" s="1"/>
  <c r="A361" i="4" s="1"/>
  <c r="A362" i="4" s="1"/>
  <c r="A363" i="4" s="1"/>
  <c r="A364" i="4" s="1"/>
  <c r="A365" i="4" s="1"/>
  <c r="A366" i="4" s="1"/>
  <c r="A367" i="4" s="1"/>
  <c r="A368" i="4" s="1"/>
  <c r="A369" i="4" s="1"/>
  <c r="A370" i="4" s="1"/>
  <c r="A371" i="4" s="1"/>
  <c r="A372" i="4" s="1"/>
  <c r="A373" i="4" s="1"/>
  <c r="A376" i="4" s="1"/>
  <c r="A377" i="4" s="1"/>
  <c r="A378" i="4" s="1"/>
  <c r="A380" i="4" s="1"/>
  <c r="A381" i="4" s="1"/>
  <c r="A382" i="4" s="1"/>
  <c r="A383" i="4" s="1"/>
  <c r="A384" i="4" s="1"/>
  <c r="A385" i="4" s="1"/>
  <c r="A386" i="4" s="1"/>
  <c r="A387" i="4" s="1"/>
  <c r="A388" i="4" s="1"/>
  <c r="A389" i="4" s="1"/>
  <c r="A390" i="4" s="1"/>
  <c r="A391" i="4" s="1"/>
  <c r="A392" i="4" s="1"/>
  <c r="A393" i="4" s="1"/>
  <c r="A394" i="4" s="1"/>
  <c r="A397" i="4" s="1"/>
  <c r="A398" i="4" s="1"/>
  <c r="A399" i="4" s="1"/>
  <c r="A400" i="4" s="1"/>
  <c r="A401" i="4" s="1"/>
  <c r="A402" i="4" s="1"/>
  <c r="A403" i="4" s="1"/>
  <c r="A404" i="4" s="1"/>
  <c r="A406" i="4" s="1"/>
  <c r="A407" i="4" s="1"/>
  <c r="A408" i="4" s="1"/>
  <c r="A409" i="4" s="1"/>
  <c r="A410" i="4" s="1"/>
  <c r="A411" i="4" s="1"/>
  <c r="A412" i="4" s="1"/>
  <c r="A413" i="4" s="1"/>
  <c r="A414" i="4" s="1"/>
  <c r="A415" i="4" s="1"/>
  <c r="A418" i="4" s="1"/>
  <c r="A419" i="4" s="1"/>
  <c r="A420" i="4" s="1"/>
  <c r="A421" i="4" s="1"/>
  <c r="A423" i="4" s="1"/>
  <c r="A424" i="4" s="1"/>
  <c r="A425" i="4" s="1"/>
  <c r="A426" i="4" s="1"/>
  <c r="A427" i="4" s="1"/>
  <c r="A428" i="4" s="1"/>
  <c r="A429" i="4" s="1"/>
  <c r="A430" i="4" s="1"/>
  <c r="A431" i="4" s="1"/>
  <c r="A432" i="4" s="1"/>
  <c r="D125" i="4"/>
  <c r="D119" i="4"/>
  <c r="D132" i="4"/>
  <c r="A435" i="4" l="1"/>
  <c r="A436" i="4" s="1"/>
  <c r="A437" i="4" s="1"/>
  <c r="A438" i="4" s="1"/>
  <c r="A439" i="4" s="1"/>
  <c r="A440" i="4" s="1"/>
  <c r="A441" i="4" s="1"/>
  <c r="A442" i="4" s="1"/>
  <c r="A444" i="4" s="1"/>
  <c r="A445" i="4" s="1"/>
  <c r="A446" i="4" s="1"/>
  <c r="A447" i="4" s="1"/>
  <c r="A448" i="4" s="1"/>
  <c r="A449" i="4" s="1"/>
  <c r="A450" i="4" s="1"/>
  <c r="A451" i="4" s="1"/>
  <c r="A452" i="4" s="1"/>
  <c r="A453" i="4" s="1"/>
  <c r="A456" i="4" s="1"/>
  <c r="A457" i="4" s="1"/>
  <c r="A458" i="4" s="1"/>
  <c r="A459" i="4" s="1"/>
  <c r="A460" i="4" s="1"/>
  <c r="A461" i="4" s="1"/>
  <c r="A462" i="4" s="1"/>
  <c r="A463" i="4" s="1"/>
  <c r="A465" i="4" s="1"/>
  <c r="A466" i="4" s="1"/>
  <c r="A467" i="4" s="1"/>
  <c r="A468" i="4" s="1"/>
  <c r="A469" i="4" s="1"/>
  <c r="A470" i="4" s="1"/>
  <c r="A471" i="4" s="1"/>
  <c r="A472" i="4" s="1"/>
  <c r="A473" i="4" s="1"/>
  <c r="A474" i="4" s="1"/>
  <c r="A477" i="4" s="1"/>
  <c r="A478" i="4" s="1"/>
  <c r="A480" i="4" s="1"/>
  <c r="A481" i="4" s="1"/>
  <c r="A482" i="4" s="1"/>
  <c r="A483" i="4" s="1"/>
  <c r="A484" i="4" s="1"/>
  <c r="A485" i="4" s="1"/>
  <c r="D93" i="4"/>
  <c r="A486" i="4" l="1"/>
  <c r="A487" i="4" s="1"/>
  <c r="A488" i="4" s="1"/>
  <c r="D92" i="4"/>
  <c r="A489" i="4" l="1"/>
  <c r="A490" i="4" s="1"/>
  <c r="A491" i="4" s="1"/>
  <c r="A492" i="4" s="1"/>
  <c r="A493" i="4" s="1"/>
  <c r="A494" i="4" s="1"/>
  <c r="A495" i="4" s="1"/>
  <c r="A496" i="4" s="1"/>
  <c r="A497" i="4" s="1"/>
  <c r="A498" i="4" s="1"/>
  <c r="A499" i="4" s="1"/>
  <c r="A502" i="4" s="1"/>
  <c r="A503" i="4" s="1"/>
  <c r="A504" i="4" s="1"/>
  <c r="A510" i="4" s="1"/>
  <c r="A511" i="4" s="1"/>
  <c r="A512" i="4" s="1"/>
  <c r="A513" i="4" s="1"/>
  <c r="A514" i="4" s="1"/>
  <c r="A515" i="4" s="1"/>
  <c r="A516" i="4" s="1"/>
  <c r="A517" i="4" s="1"/>
  <c r="D96" i="4"/>
  <c r="D98" i="4" s="1"/>
  <c r="D97" i="4" l="1"/>
  <c r="D91" i="4"/>
  <c r="D94" i="4"/>
  <c r="D95" i="4" s="1"/>
  <c r="D89" i="4"/>
  <c r="D74" i="4"/>
  <c r="D78" i="4"/>
  <c r="D61" i="4"/>
  <c r="D56" i="4"/>
  <c r="D90" i="4" l="1"/>
  <c r="D86" i="4"/>
  <c r="D68" i="4"/>
  <c r="D57" i="4"/>
  <c r="D87" i="4" l="1"/>
  <c r="D85" i="4"/>
  <c r="A20" i="4" l="1"/>
  <c r="A21" i="4" s="1"/>
  <c r="A22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6" i="4" s="1"/>
  <c r="A37" i="4" s="1"/>
  <c r="A38" i="4" s="1"/>
  <c r="A39" i="4" s="1"/>
  <c r="A40" i="4" s="1"/>
  <c r="D81" i="4" l="1"/>
  <c r="D73" i="4"/>
  <c r="D70" i="4" l="1"/>
  <c r="D80" i="4"/>
  <c r="A41" i="4" l="1"/>
  <c r="A42" i="4" s="1"/>
  <c r="A43" i="4" s="1"/>
  <c r="A45" i="4" l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A67" i="4" s="1"/>
  <c r="D43" i="4"/>
  <c r="D64" i="4" l="1"/>
  <c r="D63" i="4" l="1"/>
  <c r="A68" i="4" l="1"/>
  <c r="A69" i="4" s="1"/>
  <c r="A70" i="4" s="1"/>
  <c r="A72" i="4" s="1"/>
  <c r="A73" i="4" s="1"/>
  <c r="A74" i="4" s="1"/>
  <c r="A75" i="4" s="1"/>
  <c r="A76" i="4" s="1"/>
  <c r="A77" i="4" s="1"/>
  <c r="A78" i="4" s="1"/>
  <c r="A79" i="4" s="1"/>
  <c r="A80" i="4" s="1"/>
  <c r="A81" i="4" s="1"/>
  <c r="A84" i="4" s="1"/>
  <c r="A85" i="4" l="1"/>
  <c r="A86" i="4" s="1"/>
  <c r="A87" i="4" s="1"/>
  <c r="A89" i="4" s="1"/>
  <c r="A90" i="4" s="1"/>
  <c r="A91" i="4" s="1"/>
  <c r="A92" i="4" s="1"/>
  <c r="A93" i="4" s="1"/>
  <c r="A94" i="4" s="1"/>
  <c r="A95" i="4" s="1"/>
  <c r="A96" i="4" s="1"/>
  <c r="A97" i="4" s="1"/>
  <c r="A98" i="4" s="1"/>
  <c r="A101" i="4" s="1"/>
  <c r="A102" i="4" l="1"/>
  <c r="A103" i="4" s="1"/>
  <c r="A104" i="4" s="1"/>
  <c r="A106" i="4" s="1"/>
  <c r="A107" i="4" s="1"/>
  <c r="A108" i="4" s="1"/>
  <c r="A109" i="4" s="1"/>
  <c r="A110" i="4" s="1"/>
  <c r="A111" i="4" s="1"/>
  <c r="A112" i="4" s="1"/>
  <c r="A113" i="4" s="1"/>
  <c r="A114" i="4" s="1"/>
  <c r="A115" i="4" s="1"/>
  <c r="A118" i="4" s="1"/>
  <c r="A119" i="4" s="1"/>
  <c r="A120" i="4" s="1"/>
  <c r="A121" i="4" s="1"/>
  <c r="A123" i="4" s="1"/>
  <c r="A124" i="4" s="1"/>
  <c r="A125" i="4" s="1"/>
  <c r="A126" i="4" s="1"/>
  <c r="A127" i="4" s="1"/>
  <c r="A128" i="4" s="1"/>
  <c r="A129" i="4" s="1"/>
  <c r="A130" i="4" s="1"/>
  <c r="A131" i="4" s="1"/>
  <c r="A132" i="4" s="1"/>
</calcChain>
</file>

<file path=xl/sharedStrings.xml><?xml version="1.0" encoding="utf-8"?>
<sst xmlns="http://schemas.openxmlformats.org/spreadsheetml/2006/main" count="2521" uniqueCount="577">
  <si>
    <t>№ п.п.</t>
  </si>
  <si>
    <t>Наименование работ, ресурсов, затрат по проекту</t>
  </si>
  <si>
    <t>Ед. изм.</t>
  </si>
  <si>
    <t>Объем работ / Количество</t>
  </si>
  <si>
    <t>Формула расчета объемов работ и расхода материалов, потребности ресурсов</t>
  </si>
  <si>
    <t>Ссылка на чертежи, спецификации в проектной документации</t>
  </si>
  <si>
    <t>т</t>
  </si>
  <si>
    <t>6.1</t>
  </si>
  <si>
    <t>6.2</t>
  </si>
  <si>
    <t>Наименование объекта капитального строительства</t>
  </si>
  <si>
    <t>Документ</t>
  </si>
  <si>
    <t>Ведомость объемов работ</t>
  </si>
  <si>
    <t>Версия</t>
  </si>
  <si>
    <t>Наименование стройки</t>
  </si>
  <si>
    <t>Ведомость объемов работ №</t>
  </si>
  <si>
    <t>Дата составления</t>
  </si>
  <si>
    <t>Составил ФИО</t>
  </si>
  <si>
    <t>Составил должность</t>
  </si>
  <si>
    <t>Проверил ФИО</t>
  </si>
  <si>
    <t>Проверил должность</t>
  </si>
  <si>
    <t>Наименование файла</t>
  </si>
  <si>
    <t>м3</t>
  </si>
  <si>
    <t>Номера страниц (через пробел)</t>
  </si>
  <si>
    <t>Идентификатор</t>
  </si>
  <si>
    <t>Тип позиции</t>
  </si>
  <si>
    <t>Дополнительная информация (комментарий)</t>
  </si>
  <si>
    <t>Земляные работы</t>
  </si>
  <si>
    <t>Фундамент</t>
  </si>
  <si>
    <t>Армирование фундаментной плиты</t>
  </si>
  <si>
    <t>1_00</t>
  </si>
  <si>
    <t>м2</t>
  </si>
  <si>
    <t>кг</t>
  </si>
  <si>
    <t>Сталь арматурная А400 диам 12 мм ГОСТ 34028-2016</t>
  </si>
  <si>
    <t>Уплотнение грунта пневмотрамбовками</t>
  </si>
  <si>
    <t>Кафизов</t>
  </si>
  <si>
    <t>Сундеев</t>
  </si>
  <si>
    <t>Бетон В7,5</t>
  </si>
  <si>
    <t>Сталь арматурная А400 диам 10 мм ГОСТ 34028-2016</t>
  </si>
  <si>
    <t>Устройство фундаментной плиты толщиной 300 мм</t>
  </si>
  <si>
    <t>Устройство гидроизоляции бетонных поверхностей в 2 слоя</t>
  </si>
  <si>
    <t>Устройство основания под фундаментную плиту толщиной 0,1 м</t>
  </si>
  <si>
    <t>Бетон тяжелый В25 F1150 W4</t>
  </si>
  <si>
    <t>Мастика битумная (расход 5 кг/м2)</t>
  </si>
  <si>
    <t>Битумный праймер (расход 0,16 кг/м2)</t>
  </si>
  <si>
    <t>Инфраструктура индустриального парка «Этилен-600», Железнодорожная инфраструктура.</t>
  </si>
  <si>
    <t>Разработка грунта ИГЭ-1 (группа грунта: 4) экскаватором емкость ковша 0,65 м3 мощность 77 кВт с перемещением бульдозером мощностью 79 кВт (108 л.с.) до 10 м с погрузкой в автомобили-самосвалы</t>
  </si>
  <si>
    <t>Обратная засыпка местным грунтом (группа грунта: 4) экскаватором емкость ковша 0,65 м3 мощность 77 кВт</t>
  </si>
  <si>
    <t>18,6*9,6*0,1</t>
  </si>
  <si>
    <t>Устройство фундаментной плиты толщиной 400 мм</t>
  </si>
  <si>
    <t>18,4*9,4*0,4</t>
  </si>
  <si>
    <t>(18,4+9,4)*2*0,4</t>
  </si>
  <si>
    <t>22,24*5,0</t>
  </si>
  <si>
    <t>22,24*0,16</t>
  </si>
  <si>
    <t>0,888*(18,83*48*2+9,35*93*2+1,89*266)/1000</t>
  </si>
  <si>
    <t>Основание((наименование Раздел:а (подРаздел:а) ПД))</t>
  </si>
  <si>
    <t>Раздел: 1. Туалетный модуль (2 шт.)</t>
  </si>
  <si>
    <t>Раздел: 2. Модульная компрессорная (2 шт.)</t>
  </si>
  <si>
    <t>0,617*1,11*288/1000</t>
  </si>
  <si>
    <t>3,596+0,197</t>
  </si>
  <si>
    <t>уд.вес грунта 1,96 т/м3</t>
  </si>
  <si>
    <t>Раздел: ПД №4 Часть №3 ИЛО3 (КР)(1439_2025_5)</t>
  </si>
  <si>
    <t>Этап №5. Строительство железнодорожных путей необщего пользования (приемоотправочный парк ст. Круглое Поле)</t>
  </si>
  <si>
    <t>Раздел: 4. Бытовой модуль</t>
  </si>
  <si>
    <t>20,4*11,4*0,5</t>
  </si>
  <si>
    <t>116,28-17,86-69,18</t>
  </si>
  <si>
    <t>(116,28-29,24)*1,96</t>
  </si>
  <si>
    <t>Раздел ПД №4 Часть №3 ИЛО3 (КР)(1439_2025_5)</t>
  </si>
  <si>
    <t>Раздел: 5. МК АТС</t>
  </si>
  <si>
    <t>9,8*11,9*0,5</t>
  </si>
  <si>
    <t>(58,31-19,34)*1,96</t>
  </si>
  <si>
    <t>58,31-8,08-30,89</t>
  </si>
  <si>
    <t>8,0*10,1*0,1</t>
  </si>
  <si>
    <t>1,663+0,089</t>
  </si>
  <si>
    <t>0,888*(7,75*50*2+9,85*40*2+1,89*164)/1000</t>
  </si>
  <si>
    <t>0,617*1,11*130/1000</t>
  </si>
  <si>
    <t>7,8*9,9*0,4</t>
  </si>
  <si>
    <t>(7,8+9,9)*2*0,4</t>
  </si>
  <si>
    <t>14,16*5,0</t>
  </si>
  <si>
    <t>14,16*0,16</t>
  </si>
  <si>
    <t>Раздел: 6. Здание водоподготовки</t>
  </si>
  <si>
    <t>8,4*8,4*0,4</t>
  </si>
  <si>
    <t>6,6*6,6*0,1</t>
  </si>
  <si>
    <t>0,888*(6,35*33*2*2+1,39*120)/1000</t>
  </si>
  <si>
    <t>0,617*0,91*81/1000</t>
  </si>
  <si>
    <t>0,892+0,045</t>
  </si>
  <si>
    <t>6,4*6,4*0,3</t>
  </si>
  <si>
    <t>(6,4+6,4)*2*0,3</t>
  </si>
  <si>
    <t>7,68*5</t>
  </si>
  <si>
    <t>7,68*0,16</t>
  </si>
  <si>
    <t>28,22-4,36-12,29</t>
  </si>
  <si>
    <t>(28,22-11,58)*1,96</t>
  </si>
  <si>
    <t>Раздел: 3. Кладовая</t>
  </si>
  <si>
    <t>1439/2025/5-ИЛО3-ГЧ.02</t>
  </si>
  <si>
    <t>1439/2025/5-ИЛО3-ГЧ.03</t>
  </si>
  <si>
    <t>1439/2025/5-ИЛО3-ГЧ.04</t>
  </si>
  <si>
    <t>1439/2025/5-ИЛО3-ГЧ.05</t>
  </si>
  <si>
    <t>1439/2025/5-ИЛО3-ГЧ.06</t>
  </si>
  <si>
    <t>1439/2025/5-ИЛО3-ГЧ.07</t>
  </si>
  <si>
    <t>2,83*2,37+(1,31+3,62)/2*2+(34,48+19,67)/2*0,54+(0,83+1,5)/2*0,25</t>
  </si>
  <si>
    <t>(0,84+0,49)/2*2+1,32*5,48</t>
  </si>
  <si>
    <t>(0,84+0,49)/2*2+1,8*5,48</t>
  </si>
  <si>
    <t>Перемещение грунта в отвал бульдозером мощностью 79 кВт (108 л.с.) до 50 м (для дальнейшего сооружения насыпи)</t>
  </si>
  <si>
    <t>26,55-8,56</t>
  </si>
  <si>
    <t>Укрепление посевом трав - многолетние травы (костер 35%, житняк 50%, люцерна 15%) по растительному слою грунта толщиной 0,15 м с расходом трехкомпонентной травосмеси 27кг/1000м² и поливом водой</t>
  </si>
  <si>
    <t>22,0/cos60,4</t>
  </si>
  <si>
    <t>Конструкция выпуска</t>
  </si>
  <si>
    <t>Устройство подушки под портальную стенку</t>
  </si>
  <si>
    <t>2,83*2,37-0,33</t>
  </si>
  <si>
    <t>Песчано-гравийная смесь по ГОСТ 23735-2014</t>
  </si>
  <si>
    <t>Устройство подушки под быстроток</t>
  </si>
  <si>
    <t>1,75*2,945-(0,49*2,0+0,47+(0,82*1,1*0,2+0,72*1,1*0,2)+(0,049*2*2+0,027*4))</t>
  </si>
  <si>
    <t>Устройство теплоизоляции трубы</t>
  </si>
  <si>
    <t>м</t>
  </si>
  <si>
    <t>Скорлупа ППУ 630 х 80 покрытие оцинковка, по ТУ 23.99.19-007-06016887-2019</t>
  </si>
  <si>
    <t>14,28*2</t>
  </si>
  <si>
    <t xml:space="preserve">Установка стенки портальной </t>
  </si>
  <si>
    <t>Стенка портальная СТК-1-F из бетона B30, F300, W6 шифр 1484 выпуск 1</t>
  </si>
  <si>
    <t>1 шт.</t>
  </si>
  <si>
    <t>Устройство обоймы под установку бортовых камней</t>
  </si>
  <si>
    <t>(0,06*2,0*2)+(0,058*4)</t>
  </si>
  <si>
    <t>Бетон В15, F150, W6</t>
  </si>
  <si>
    <t>0,47*1,015</t>
  </si>
  <si>
    <t>Установка бортовых камней</t>
  </si>
  <si>
    <t>4*1+4*1</t>
  </si>
  <si>
    <t>Бортовой камень БР100.60.20 ГОСТ 6665-91 из бетона B30, F300, W6, массой 270 кг</t>
  </si>
  <si>
    <t>шт</t>
  </si>
  <si>
    <t>Бортовой камень БР100.30.18 ГОСТ 6665-91 из бетона B30, F300, W6, массой 120 кг</t>
  </si>
  <si>
    <t>Укрепление лотка монолитным бетоном толщиной 20 см, армированным сеткой</t>
  </si>
  <si>
    <t>0,82*1,1+0,72*1,1</t>
  </si>
  <si>
    <t>Бетон В20 F300 W6</t>
  </si>
  <si>
    <t>1,69*0,2*1,015</t>
  </si>
  <si>
    <t xml:space="preserve">Арматура Ø6 А240 c ячейками 20х20см </t>
  </si>
  <si>
    <t>1,69*2,45</t>
  </si>
  <si>
    <t>расход 2,45кг/м2</t>
  </si>
  <si>
    <t xml:space="preserve">Проливка битумом под монолитный лоток </t>
  </si>
  <si>
    <t>1,69*0,8</t>
  </si>
  <si>
    <t>расход 0,8кг/м2</t>
  </si>
  <si>
    <t>1,8+1,85+1,5*(0,2+0,07+0,14+0,05)+1,89*0,3*2</t>
  </si>
  <si>
    <t>5,47*5</t>
  </si>
  <si>
    <t>5,47*0,16</t>
  </si>
  <si>
    <t>Укрепление откосов монолитным бетоном толщиной 8см, армированным сеткой</t>
  </si>
  <si>
    <t>5,19/cos60,4+0,5*2,21*2</t>
  </si>
  <si>
    <t>12,72*0,08*1,015</t>
  </si>
  <si>
    <t>12,72*2,45</t>
  </si>
  <si>
    <t>Устройство подготовки толщиной 10 см</t>
  </si>
  <si>
    <t>(5,19/cos60,4+0,5*2,21*2)*0,1</t>
  </si>
  <si>
    <t>Щебень М400 фр.20-40 ГОСТ 8267-93</t>
  </si>
  <si>
    <t>Устройство монолитных упоров 40х50см из бетона по подготовке</t>
  </si>
  <si>
    <t>п.м.</t>
  </si>
  <si>
    <t>0,5*2</t>
  </si>
  <si>
    <t>0,4*0,5*0,5*2</t>
  </si>
  <si>
    <t>0,5*0,6*0,1*2</t>
  </si>
  <si>
    <t>Устройство каменной наброски толщиной 25 см</t>
  </si>
  <si>
    <t>(0,83+1,5)/2*0,25</t>
  </si>
  <si>
    <t>Щебень фр. 80-120, М800, F100</t>
  </si>
  <si>
    <t>(27,04+202,92)/2*6,03</t>
  </si>
  <si>
    <t>(693,33-182,18)*1,96</t>
  </si>
  <si>
    <t>(162,44+202,92)/2*1-0,4^2*3,14*1</t>
  </si>
  <si>
    <t>Обратная засыпка песком экскаватором емкость ковша 0,65 м3 мощность 77 кВт</t>
  </si>
  <si>
    <t>(27,04+162,44)/2*5,03-1,0^2*3,14*2,4-0,4^2*3,14*2,13-1,02-3,6</t>
  </si>
  <si>
    <t>Пролив водой грунта обратной засыпки</t>
  </si>
  <si>
    <t>463,31*1,23</t>
  </si>
  <si>
    <t>Устройство бетонной подготовки толщиной 100 мм</t>
  </si>
  <si>
    <t>3,2*3,2*0,1</t>
  </si>
  <si>
    <t>Бетон тяжелый В7,5</t>
  </si>
  <si>
    <t>Сталь арматурная А240 диам 10 мм ГОСТ 34028-2016</t>
  </si>
  <si>
    <t>0,617*(2,95*12+0,43*24)/1000</t>
  </si>
  <si>
    <t>3,0*3,0*0,4</t>
  </si>
  <si>
    <t>Бетон тяжелый В20 F1150 W6</t>
  </si>
  <si>
    <t>Устройство гидроизоляции бетонных поверхностей в 2 слоя по слою битумного праймера</t>
  </si>
  <si>
    <t>3,0*3,0+12,0*0,4</t>
  </si>
  <si>
    <t>13,8*5,0</t>
  </si>
  <si>
    <t>13,8*0,16</t>
  </si>
  <si>
    <t>(27,04+156,75)/2*4,88</t>
  </si>
  <si>
    <t>(448,45-135,96)*1,96</t>
  </si>
  <si>
    <t>(121,44+156,75)/2*1-1,0^2*3,14*1</t>
  </si>
  <si>
    <t>(27,04+121,44)/2*3,88-1,0^2*3,14*3,3-0,4^2*3,14*0,08-1,02-3,6</t>
  </si>
  <si>
    <t>273,03*1,23</t>
  </si>
  <si>
    <t>(79,04+416)/2*7,2</t>
  </si>
  <si>
    <t>(1782,14-1247,44)*1,96</t>
  </si>
  <si>
    <t>(195,52+416)/2*4,1-0,4^2*3,14*4,1*3</t>
  </si>
  <si>
    <t>(79,04+195,52)/2*3,1-1,0^2*3,14*12-0,4^2*3,14*0,5*3-4,22-15,6-3,9</t>
  </si>
  <si>
    <t>363,41*1,23</t>
  </si>
  <si>
    <t>3,2*13,2*0,1</t>
  </si>
  <si>
    <t>0,888*(13,51*16*2+2,95*66*2+1,89*148)/1000</t>
  </si>
  <si>
    <t>Сталь арматурная А240 диам 16 мм ГОСТ 34028-2016</t>
  </si>
  <si>
    <t>1,578*2,0*12/1000</t>
  </si>
  <si>
    <t>3*13*0,4</t>
  </si>
  <si>
    <t>Устройство песчаной подготовки толщиной 100 мм</t>
  </si>
  <si>
    <t>13*3*0,1</t>
  </si>
  <si>
    <t>13*3+32*0,4</t>
  </si>
  <si>
    <t>51,8*5,0</t>
  </si>
  <si>
    <t>51,8*0,16</t>
  </si>
  <si>
    <t>(25,76+142,67)/2*4,57</t>
  </si>
  <si>
    <t>(384,86-125,29)*1,96</t>
  </si>
  <si>
    <t>(109,06+142,67)/2*1-0,58*1</t>
  </si>
  <si>
    <t>(25,76+109,06)/2*3,57-1,2-1,42-3,32-2,6*3,6*2,5-0,49*2-0,25-0,58*0,52</t>
  </si>
  <si>
    <t>209,78*1,23</t>
  </si>
  <si>
    <t>Устройство основания под фундаменты толщиной 0,2 м</t>
  </si>
  <si>
    <t>(14,96+18,24)/2*0,2</t>
  </si>
  <si>
    <t>Щебень М400 фр.20-40</t>
  </si>
  <si>
    <t>Устройство подготовки толщиной 0,1 м</t>
  </si>
  <si>
    <t>(13,44+14,96)/2*0,1</t>
  </si>
  <si>
    <t>3*4*0,1</t>
  </si>
  <si>
    <t>Гидроизоляция подготовки под фундаментую плиту в 2 слоя с учетом нахлеста</t>
  </si>
  <si>
    <t>3*4</t>
  </si>
  <si>
    <t>Гидроизоляция Техноэласт ЭПП (нахлест 1,15 м2 на 1 слой, вес 5,35 кг/м2)</t>
  </si>
  <si>
    <t>12*1,15*2</t>
  </si>
  <si>
    <t>12*0,16</t>
  </si>
  <si>
    <t>0,266+0,02</t>
  </si>
  <si>
    <t>0,888*(2,56*38+3,56*28+2,71*38)/1000</t>
  </si>
  <si>
    <t>0,617*0,91*35/1000</t>
  </si>
  <si>
    <t>Устройство ПВХ гидрошпонки</t>
  </si>
  <si>
    <t>(2,3+3,3)*2</t>
  </si>
  <si>
    <t>Гидрошпонка ТехноНИКОЛЬ FMR-140/50 или аналог</t>
  </si>
  <si>
    <t>2,6*3,6*0,3</t>
  </si>
  <si>
    <t>Бетон В25 F1150 W6</t>
  </si>
  <si>
    <t>Армирование стен камеры</t>
  </si>
  <si>
    <t>0,617*0,38*102/1000</t>
  </si>
  <si>
    <t>Устройство стен камер толщиной 0,3 м высотой 2,2 м</t>
  </si>
  <si>
    <t>3,36*2,2-0,71^2*3,14*0,3*2</t>
  </si>
  <si>
    <t>Устройство гидроизоляции штукатурной бетонных поверхностей днища камеры по грунтовке</t>
  </si>
  <si>
    <t>(2+3)*2*2,2+2*3-0,71^2*3,14*2</t>
  </si>
  <si>
    <t>Смесь сухая гидроизоляционная на цементное основе для защиты поверхности бетонных конструкций, эксплуатируемых в подземных условиях с повышенной влажностью (расход 3,5 кг/м2)</t>
  </si>
  <si>
    <t>24,83*3,5</t>
  </si>
  <si>
    <t>Состав грунтовочный акриловый глубокого проникновения (расход 0,2 кг/м2)</t>
  </si>
  <si>
    <t>24,83*0,2</t>
  </si>
  <si>
    <t>Установка металлической стремянки высотой 2,1 м</t>
  </si>
  <si>
    <t>Стремянка металлическая С-6 по ТПР 901-09-11.84</t>
  </si>
  <si>
    <t>23,52*2/1000</t>
  </si>
  <si>
    <t>Уголок 50х50х5 по ГОСТ 8509-93 сталь С235 ГОСТ 27772-2021 длиной 0,15 м 8 шт./стремянка</t>
  </si>
  <si>
    <t>3,77*0,15*8*2/1000</t>
  </si>
  <si>
    <t>Защита металлических конструкций</t>
  </si>
  <si>
    <t>((0,2*0,15+0,5*2)*8+(0,2*2,1+0,5*2)*2+0,06*0,485*7)*2</t>
  </si>
  <si>
    <t>Эмаль ПФ-115 ГОСТ 6465-2023 в 2 слоя (расход 150 г/м2 на один слой)</t>
  </si>
  <si>
    <t>22,57*0,15*2</t>
  </si>
  <si>
    <t>Грунтовка ГФ-021 ГОСТ 25129-2020 (расход 100 г/м2)</t>
  </si>
  <si>
    <t>22,57*0,1</t>
  </si>
  <si>
    <t>Укладка плит покрытия по слою цементно-песчаного раствора марка М100 толщиной 10 мм при помощи крана г/п 25 т</t>
  </si>
  <si>
    <t>0,98+0,25</t>
  </si>
  <si>
    <t>Плита ПТО.150.240.14-6 серия 3.006.1-8 вып.1-2, масса 1,233 т, объем 0,49 м3</t>
  </si>
  <si>
    <t>0,49*2</t>
  </si>
  <si>
    <t>2 шт.</t>
  </si>
  <si>
    <t>Плита ПТ 75.240.14-9 серия 3.006.1-8 вып.3-1, масса 0,63 т, объем 0,25 м3</t>
  </si>
  <si>
    <t>Заделка швов между плитами</t>
  </si>
  <si>
    <t>0,05*3,6*2</t>
  </si>
  <si>
    <t>Установка колец стеновых по слою цементно-песчаного раствора марка М100 толщиной 10 мм при помощи крана г/п 25 т</t>
  </si>
  <si>
    <t>0,2+0,31+0,04</t>
  </si>
  <si>
    <t>Кольцо стеновое КС7.3 ГОСТ 8020-2016, масса 0,13 т, объем 0,05 м3</t>
  </si>
  <si>
    <t>0,05*2*2</t>
  </si>
  <si>
    <t>4 шт.</t>
  </si>
  <si>
    <t>Кольцо стеновое КС7.9 ГОСТ 8020-2016, масса 0,366 т, объем 0,154 м3</t>
  </si>
  <si>
    <t>0,154*2</t>
  </si>
  <si>
    <t>Кольцо опорное КО6 ГОСТ 8020-2016, масса 0,05 т, объем 0,02 м3</t>
  </si>
  <si>
    <t>0,02*2</t>
  </si>
  <si>
    <t>Монтаж скоб ходовых в стеновые кольца горловины</t>
  </si>
  <si>
    <t>5*2</t>
  </si>
  <si>
    <t>Сталь арматурная А240 диам 16 мм ГОСТ 34028-2016 L=0,52 м</t>
  </si>
  <si>
    <t>1,578*0,52*10/1000</t>
  </si>
  <si>
    <t>Установка люка</t>
  </si>
  <si>
    <t>Люк Л (Л15)-К-2.60</t>
  </si>
  <si>
    <t>60*2/1000</t>
  </si>
  <si>
    <t>Гидроизоляция боковых бетонных поверхностей в 2 слоя с учетом нахлеста</t>
  </si>
  <si>
    <t>2,9*(3,6+2,6)*2-0,71^2*3,14*2+2,7*1,52*2</t>
  </si>
  <si>
    <t>41,0*1,15*2</t>
  </si>
  <si>
    <t>41,0*0,16</t>
  </si>
  <si>
    <t>Гидроизоляция горизонтальных бетонных поверхностей в 2 слоя с учетом нахлеста по слою цементно-песчаного раствора М100 по уклону i=0,02 толщиной не менее 20 мм</t>
  </si>
  <si>
    <t>3,72*2,38-0,35^2*3,14*2</t>
  </si>
  <si>
    <t>8,08*1,15*2</t>
  </si>
  <si>
    <t>8,08*0,16</t>
  </si>
  <si>
    <t>Устройство переходной галтели 100х100 мм</t>
  </si>
  <si>
    <t>0,1*0,1/2*12,8</t>
  </si>
  <si>
    <t>Цементно-песчаный раствор М150</t>
  </si>
  <si>
    <t>0,064*1,02</t>
  </si>
  <si>
    <t>Гидроизоляция стыков между стеновыми кольцами</t>
  </si>
  <si>
    <t>(2,7+0,5)*3*2</t>
  </si>
  <si>
    <t>Гнилостойкая ткань шириной 30 см</t>
  </si>
  <si>
    <t>19,2*0,03*1,022</t>
  </si>
  <si>
    <t>(36,34+165,11)/2*4,47</t>
  </si>
  <si>
    <t>(450,24-146,22)*1,96</t>
  </si>
  <si>
    <t>(128,49+165,11)/2*1-0,58*1</t>
  </si>
  <si>
    <t>(36,34+128,49)/2*3,47-1,89-2,18-4,98-2,6*5,9*2,6-0,49*3-0,25*2-0,58*0,32</t>
  </si>
  <si>
    <t>234,9*1,23</t>
  </si>
  <si>
    <t>(22,78+26,98)/2*0,2</t>
  </si>
  <si>
    <t>(20,8+22,78)/2*0,1</t>
  </si>
  <si>
    <t>3*6,3*0,1</t>
  </si>
  <si>
    <t>3*6,3</t>
  </si>
  <si>
    <t>18,9*1,15*2</t>
  </si>
  <si>
    <t>18,9*0,16</t>
  </si>
  <si>
    <t>0,426+0,03</t>
  </si>
  <si>
    <t>0,888*(2,56*60+5,86*28+2,71*60)/1000</t>
  </si>
  <si>
    <t>0,617*0,91*53/1000</t>
  </si>
  <si>
    <t>(2,3+5,6)*2</t>
  </si>
  <si>
    <t>2,6*5,9*0,3</t>
  </si>
  <si>
    <t>0,617*0,38*132/1000</t>
  </si>
  <si>
    <t>Устройство стен камер толщиной 0,3 м высотой 2,3 м</t>
  </si>
  <si>
    <t>4,74*2,3-0,71^2*3,14*0,3*2</t>
  </si>
  <si>
    <t>(2+5,3)*2*2,3+2*5,3-0,71^2*3,14*2</t>
  </si>
  <si>
    <t>41,01*3,5</t>
  </si>
  <si>
    <t>41,01*0,2</t>
  </si>
  <si>
    <t>23,52*3/1000</t>
  </si>
  <si>
    <t>3,77*0,15*8*3/1000</t>
  </si>
  <si>
    <t>((0,2*0,15+0,5*2)*8+(0,2*2,1+0,5*2)*2+0,06*0,485*7)*3</t>
  </si>
  <si>
    <t>33,85*0,15*2</t>
  </si>
  <si>
    <t>33,85*0,1</t>
  </si>
  <si>
    <t>1,47+0,5</t>
  </si>
  <si>
    <t>0,49*3</t>
  </si>
  <si>
    <t>3 шт.</t>
  </si>
  <si>
    <t>0,25*2</t>
  </si>
  <si>
    <t>0,05*5,9*2</t>
  </si>
  <si>
    <t>0,15+0,46+0,18</t>
  </si>
  <si>
    <t>0,05*3</t>
  </si>
  <si>
    <t>0,154*3</t>
  </si>
  <si>
    <t>0,02*3*3</t>
  </si>
  <si>
    <t>9 шт.</t>
  </si>
  <si>
    <t>4*3</t>
  </si>
  <si>
    <t>1,578*0,52*12/1000</t>
  </si>
  <si>
    <t>60*3/1000</t>
  </si>
  <si>
    <t>3,0*(5,9+2,6)*2-0,71^2*3,14*2+2,7*1,32*3</t>
  </si>
  <si>
    <t>58,53*1,15*2</t>
  </si>
  <si>
    <t>58,53*0,16</t>
  </si>
  <si>
    <t>5,96*2,38-0,35^2*3,14*3</t>
  </si>
  <si>
    <t>13,03*1,15*2</t>
  </si>
  <si>
    <t>13,03*0,16</t>
  </si>
  <si>
    <t>0,1*0,1/2*17,4</t>
  </si>
  <si>
    <t>0,087*1,02</t>
  </si>
  <si>
    <t>(2,7+0,5)*4*3</t>
  </si>
  <si>
    <t>38,4*0,03*1,022</t>
  </si>
  <si>
    <t>Разработка грунта ИГЭ-1 (группа грунта: 4) с помощью буровой установки Ø250 мм с погрузкой в автомобили-самосвалы</t>
  </si>
  <si>
    <t>0,125^2*3,14*1,8*125</t>
  </si>
  <si>
    <t>Разработка ИГЭ-1 (группа грунта: 4) с помощью буровой установки Ø350 мм с погрузкой в автомобили-самосвалы</t>
  </si>
  <si>
    <t>0,175^2*3,14*2,5*6</t>
  </si>
  <si>
    <t>(11,04+1,44)*1,96</t>
  </si>
  <si>
    <t>Устройство основания под фундаменты толщиной 0,1 м</t>
  </si>
  <si>
    <t>0,125^2*3,14*0,1*125+0,175^2*3,14*0,1*6</t>
  </si>
  <si>
    <t>0,67*1,3</t>
  </si>
  <si>
    <t>Прокладка стенок скважин стекловолокнистым материалом</t>
  </si>
  <si>
    <t>2*3,14*0,125*1,8*125+2*3,14*0,175*2,5*6</t>
  </si>
  <si>
    <t>Гидроизол П в 2 слоя</t>
  </si>
  <si>
    <t>Укладка слоя стекловолокнистого материала на щебеночное основание</t>
  </si>
  <si>
    <t>0,125^2*3,14*125+0,175^2*3,14*6</t>
  </si>
  <si>
    <t>Установка металлических столбов с погружением в бетонное основание</t>
  </si>
  <si>
    <t>шт.</t>
  </si>
  <si>
    <t>125+6</t>
  </si>
  <si>
    <t xml:space="preserve">Труба 100х100х5 ГОСТ 30245-2003 сталь С255, длиной 3,6 м </t>
  </si>
  <si>
    <t>14,41*3,6*6/1000</t>
  </si>
  <si>
    <t xml:space="preserve">Труба 60х60х3,5 ГОСТ 30245-2003 сталь С255, длиной 3,0 м </t>
  </si>
  <si>
    <t>5,96*3*125/1000</t>
  </si>
  <si>
    <t>Бетон В15 F150 W6</t>
  </si>
  <si>
    <t>0,125^2*3,14*1,7*125+0,175^2*3,14*2,4*6</t>
  </si>
  <si>
    <t>Панели металлические сетчатые FENSYS или эквивалент 2,03х2,5 м RAL 6005</t>
  </si>
  <si>
    <t>Панели металлические сетчатые FENSYS или эквиваент 2,03х3,0 м RAL 6005</t>
  </si>
  <si>
    <t>Ворота металлические сетчатые FENSYS или эквиваент 4,5х2,0 м RAL 6005</t>
  </si>
  <si>
    <t>Устройство насадок и кронштейнов для установки колючей проволоки</t>
  </si>
  <si>
    <t>(33,1+20,3)*2+(69,5+67,4)*2</t>
  </si>
  <si>
    <t>Колючая проволока СББ 500 проволока 2,5 мм, колючка 2,5 мм</t>
  </si>
  <si>
    <t>(58,87+168,73)/2*3,44</t>
  </si>
  <si>
    <t>(391,47-132,52)*1,96</t>
  </si>
  <si>
    <t>(131,3+168,73)/2*1-2,38*7,35*1</t>
  </si>
  <si>
    <t>(58,87+131,3)/2*2,44-2,38*7,35*1,94-3,06-11,29</t>
  </si>
  <si>
    <t>183,72*1,23</t>
  </si>
  <si>
    <t>8,55*3,58*0,1</t>
  </si>
  <si>
    <t>0,67+0,115</t>
  </si>
  <si>
    <t>0,888*(8,3*34+3,33*84+1,89*102)/1000</t>
  </si>
  <si>
    <t>0,617*(3,33*36+0,82*81)/1000</t>
  </si>
  <si>
    <t>8,35*3,38*0,4</t>
  </si>
  <si>
    <t>8,35*3,38+23,46*0,4</t>
  </si>
  <si>
    <t>37,61*5,0</t>
  </si>
  <si>
    <t>37,61*0,16</t>
  </si>
  <si>
    <t>Раздел: 7. Сооружение выпуска сточных вод</t>
  </si>
  <si>
    <t>1439/2025/5-ИЛО3-ГЧ.08
1439/2025/5-ИЛО3-ГЧ.09</t>
  </si>
  <si>
    <t>1439/2025/5-ИЛО3-ГЧ.10</t>
  </si>
  <si>
    <t>Раздел: 8. Расходомер</t>
  </si>
  <si>
    <t>Раздел: 9. Емкость с УФО</t>
  </si>
  <si>
    <t>1439/2025/5-ИЛО3-ГЧ.11</t>
  </si>
  <si>
    <t>Раздел: 10. Комплексная система очистки Rainpark OLPS-2000-40 производительностью 40 л/с</t>
  </si>
  <si>
    <t>1439/2025/5-ИЛО3-ГЧ.12</t>
  </si>
  <si>
    <t>Раздел: 11. Камера В1-1</t>
  </si>
  <si>
    <t>1439/2025/5-ИЛО3-ГЧ.13</t>
  </si>
  <si>
    <t>Раздел: 12. Камера В1-2</t>
  </si>
  <si>
    <t>1439/2025/5-ИЛО3-ГЧ.14</t>
  </si>
  <si>
    <t>Раздел: 13. Ограждение</t>
  </si>
  <si>
    <t>1439/2025/5-ИЛО3-ГЧ.15
1439/2025/5-ИЛО3-ГЧ.16
1439/2025/5-ИЛО3-ГЧ.17
1439/2025/5-ИЛО3-ГЧ.18</t>
  </si>
  <si>
    <t>Раздел: 14. Станция биологической очистки</t>
  </si>
  <si>
    <t>1439/2025/5-ИЛО3-ГЧ.19</t>
  </si>
  <si>
    <t>ВОР-03-11</t>
  </si>
  <si>
    <t>Инженер</t>
  </si>
  <si>
    <t>ГИП</t>
  </si>
  <si>
    <t>3,9*1,23</t>
  </si>
  <si>
    <t>коэффициент расхода 1,23</t>
  </si>
  <si>
    <t>3,32*1,3</t>
  </si>
  <si>
    <t>коэффициент расхода 1,3</t>
  </si>
  <si>
    <t>1,42*1,23</t>
  </si>
  <si>
    <t>4,98*1,3</t>
  </si>
  <si>
    <t>2,18*1,23</t>
  </si>
  <si>
    <t>1,27*1,3</t>
  </si>
  <si>
    <t>0,06*1,3</t>
  </si>
  <si>
    <t>0,29*1,3</t>
  </si>
  <si>
    <t>Перевозка на площадку временного складирования на расстояние 9,5 км автомобилями-самосвалами грузоподъемностью 15т</t>
  </si>
  <si>
    <t>8,46*4,84*0,4</t>
  </si>
  <si>
    <t>16,38-2,02-5,5</t>
  </si>
  <si>
    <t>Раздел: 15. Модульный пункт обогрева</t>
  </si>
  <si>
    <t>(16,38-8,86)*1,96</t>
  </si>
  <si>
    <t>6,66*3,04*0,1</t>
  </si>
  <si>
    <t>0,888*(2,79*33*2+6,41*15*2+1,39*84)/1000</t>
  </si>
  <si>
    <t>0,617*0,91*36/1000</t>
  </si>
  <si>
    <t>0,438+0,02</t>
  </si>
  <si>
    <t>6,46*2,84*0,3</t>
  </si>
  <si>
    <t>(6,46+2,84)*2*0,3</t>
  </si>
  <si>
    <t>5,58*5,0</t>
  </si>
  <si>
    <t>5,58*0,16</t>
  </si>
  <si>
    <t>1439/2025/5-ИЛО3-ГЧ.20</t>
  </si>
  <si>
    <t>1439/2025/5-ИЛО3-ГЧ.21</t>
  </si>
  <si>
    <t>(21,16+251,22)/2*7,5</t>
  </si>
  <si>
    <t>1439/2025/5-ИЛО3-ГЧ.22</t>
  </si>
  <si>
    <t>(205,92+251,22)/2*1-0,7^2*3,14*1</t>
  </si>
  <si>
    <t>(1021,43-227,03)*1,96</t>
  </si>
  <si>
    <t>(21,16+205,92)/2*6,5-0,7^2*3,14*6-0,68-2,3</t>
  </si>
  <si>
    <t>2,6*2,6*0,1</t>
  </si>
  <si>
    <t>2,4*2,4*0,4</t>
  </si>
  <si>
    <t>725,8*1,23</t>
  </si>
  <si>
    <t>0,617*(2,35*12+0,43*36)/1000</t>
  </si>
  <si>
    <t>2,4*2,4+9,6*0,4</t>
  </si>
  <si>
    <t>9,6*5,0</t>
  </si>
  <si>
    <t>9,6*0,16</t>
  </si>
  <si>
    <t>(21,16+88,36)/2*3,2</t>
  </si>
  <si>
    <t>(62,41+88,36)/2*1-0,7^2*3,14*1</t>
  </si>
  <si>
    <t>(175,23-73,85)*1,96</t>
  </si>
  <si>
    <t>(21,16+62,41)/2*2,2-0,7^2*3,14*1,7-0,68-2,3</t>
  </si>
  <si>
    <t>86,33*1,23</t>
  </si>
  <si>
    <t>1439/2025/5-ИЛО3-ГЧ.23</t>
  </si>
  <si>
    <t>Песок мелкий II класса ГОСТ 8736-2025 с коэф. Фильтрации не менее Кф&gt;0,5 м/сут</t>
  </si>
  <si>
    <t>39 40</t>
  </si>
  <si>
    <t>46 47 48 49</t>
  </si>
  <si>
    <t>0,888*(2,95*60+1,89*64)/1000</t>
  </si>
  <si>
    <t>0,265+0,028</t>
  </si>
  <si>
    <t>0,888*(2,35*48+1,89*32)/1000</t>
  </si>
  <si>
    <t>0,154+0,027</t>
  </si>
  <si>
    <t>3,5*8,1*0,1</t>
  </si>
  <si>
    <t>0,888*(7,85*17*2+3,25*40*2+1,39*100)/1000</t>
  </si>
  <si>
    <t>0,617*0,91*50/1000</t>
  </si>
  <si>
    <t>0,591+0,028</t>
  </si>
  <si>
    <t>7,9*3,3*0,3</t>
  </si>
  <si>
    <t>(7,9+3,3)*2*0,3</t>
  </si>
  <si>
    <t>6,72*5</t>
  </si>
  <si>
    <t>6,72*0,16</t>
  </si>
  <si>
    <t>3,5*9,1*0,1</t>
  </si>
  <si>
    <t>0,888*(8,85*17*2+3,25*45*2+1,39*112)/1000</t>
  </si>
  <si>
    <t>0,617*0,91*60/1000</t>
  </si>
  <si>
    <t>0,665+0,034</t>
  </si>
  <si>
    <t>8,9*3,3*0,3</t>
  </si>
  <si>
    <t>(8,9+3,3)*2*0,3</t>
  </si>
  <si>
    <t>7,32*5</t>
  </si>
  <si>
    <t>7,32*0,16</t>
  </si>
  <si>
    <t>9,9*5,3*0,4</t>
  </si>
  <si>
    <t>20,99-2,84-7,82</t>
  </si>
  <si>
    <t>(20,99-10,33)*1,96</t>
  </si>
  <si>
    <t>10,9*5,3*0,4</t>
  </si>
  <si>
    <t>23,11-3,19-8,81</t>
  </si>
  <si>
    <t>(23,11-11,11)*1,96</t>
  </si>
  <si>
    <t>3,9*4,4*0,4*2</t>
  </si>
  <si>
    <t>(13,73-9,9)*1,96</t>
  </si>
  <si>
    <t>13,73-1,09-2,74</t>
  </si>
  <si>
    <t>2,1*2,6*0,1*2</t>
  </si>
  <si>
    <t>0,248+0,013</t>
  </si>
  <si>
    <t>0,888*(1,85*13*2+2,35*10*2+1,39*32)/1000*2</t>
  </si>
  <si>
    <t>0,617*0,91*12/1000*2</t>
  </si>
  <si>
    <t>1,9*2,4*0,3*2</t>
  </si>
  <si>
    <t>(1,9+2,4)*2*0,3*2</t>
  </si>
  <si>
    <t>5,16*5,0</t>
  </si>
  <si>
    <t>5,16*0,16</t>
  </si>
  <si>
    <t>8,7*25,5*0,5</t>
  </si>
  <si>
    <t>(110,93-31,59)*1,96</t>
  </si>
  <si>
    <t>110,93-16,35-62,98</t>
  </si>
  <si>
    <t>6,9*23,7*0,1</t>
  </si>
  <si>
    <t>3,322+0,185</t>
  </si>
  <si>
    <t>0,888*(6,65*118*2+23,93*34*2+1,89*288)/1000</t>
  </si>
  <si>
    <t>0,617*1,11*270/1000</t>
  </si>
  <si>
    <t>6,7*23,5*0,4</t>
  </si>
  <si>
    <t>(6,7+23,5)*2*0,4</t>
  </si>
  <si>
    <t>24,16*5</t>
  </si>
  <si>
    <t>24,16*0,16</t>
  </si>
  <si>
    <t>Сальник ТМ 90-16 по серии 5.900-2</t>
  </si>
  <si>
    <t>0,888*(2,56*44+3,56*44+2,46*116+2,71*50+2,42*32)/1000</t>
  </si>
  <si>
    <t>0,682+0,024</t>
  </si>
  <si>
    <t>Установка сальников для прохода трубы через стену</t>
  </si>
  <si>
    <t>Сальник ТМ 90-02 по серии 5.900-2</t>
  </si>
  <si>
    <t>(171,3*2+10,4)/1000</t>
  </si>
  <si>
    <t>0,888*(2,56*48+5,86*48+2,56*164+2,71*74+2,42*32)/1000</t>
  </si>
  <si>
    <t>0,979+0,031</t>
  </si>
  <si>
    <t>1439/2025/5-ИЛО3-ГЧ.15</t>
  </si>
  <si>
    <t>Установка металлического столба с погружением в бетонное основание</t>
  </si>
  <si>
    <r>
      <t>Тру</t>
    </r>
    <r>
      <rPr>
        <sz val="11"/>
        <color theme="1"/>
        <rFont val="Calibri"/>
        <family val="2"/>
        <charset val="204"/>
        <scheme val="minor"/>
      </rPr>
      <t>ба Ø</t>
    </r>
    <r>
      <rPr>
        <sz val="11"/>
        <color theme="1"/>
        <rFont val="Calibri"/>
        <family val="2"/>
        <charset val="204"/>
      </rPr>
      <t>76х3,0</t>
    </r>
    <r>
      <rPr>
        <sz val="11"/>
        <color theme="1"/>
        <rFont val="Calibri"/>
        <family val="2"/>
        <charset val="204"/>
        <scheme val="minor"/>
      </rPr>
      <t xml:space="preserve"> ГОСТ 10704-91 сталь С255, длиной 2,0 м </t>
    </r>
  </si>
  <si>
    <t>Покрытие металлических элементов горячим цинкованием толщиной 80 мкм</t>
  </si>
  <si>
    <t>Лист 2х50х100 ГОСТ 19903-2015 сталь С245 ГОСТ 27772-2015</t>
  </si>
  <si>
    <t>Лист 2х800х500 ГОСТ 19903-2015 сталь С245 ГОСТ 27772-2015</t>
  </si>
  <si>
    <t>Раздел: 16. КНС1 D=1,4 м, H=7,2 м</t>
  </si>
  <si>
    <t>Раздел: 17. КНС2 D=1,4 м, H=2,9 м</t>
  </si>
  <si>
    <t>Раздел: 18. Бункер (2 шт.)</t>
  </si>
  <si>
    <t>0,125^2*3,14*0,8*2</t>
  </si>
  <si>
    <t>0,08*1,96</t>
  </si>
  <si>
    <t>0,125^2*3,14*0,1*2</t>
  </si>
  <si>
    <t>0,01*1,3</t>
  </si>
  <si>
    <t>2*3,14*0,125*0,8*2</t>
  </si>
  <si>
    <t>0,125^2*3,14*2</t>
  </si>
  <si>
    <t>1*2</t>
  </si>
  <si>
    <t>5,4*2,0/1000*2</t>
  </si>
  <si>
    <t>15,7*0,05*0,1*4*2</t>
  </si>
  <si>
    <t>0,125^2*3,14*0,7*2</t>
  </si>
  <si>
    <t>15,7*0,8*0,5*2*2</t>
  </si>
  <si>
    <t>Установка приемного лотка металлического (состоящего из листов, соединенных между собой при помощи сварки) на стойку при помощи сварки</t>
  </si>
  <si>
    <t>Лист 2х130х310 ГОСТ 19903-2015 сталь С245 ГОСТ 27772-2015</t>
  </si>
  <si>
    <t>15,7*0,13*0,31*2</t>
  </si>
  <si>
    <t>Сталь арматурная А400 диам 18 мм ГОСТ 34028-2016</t>
  </si>
  <si>
    <t>Труба 25х2,5х100 ГОСТ 10704-91 сталь В-Ст3сп</t>
  </si>
  <si>
    <t>Монтаж петли</t>
  </si>
  <si>
    <t>Пластина 3х50х140 ГОСТ 19903-2015 сталь С235</t>
  </si>
  <si>
    <t>23,55*0,05*0,14*2</t>
  </si>
  <si>
    <t>1,998*0,1*2</t>
  </si>
  <si>
    <t>1,39*0,05*2</t>
  </si>
  <si>
    <t>0,94*(0,12+0,1)</t>
  </si>
  <si>
    <t>Полоса 4х30 ГОСТ 103-76 сталь Ст3сп ГОСТ 380-2005</t>
  </si>
  <si>
    <t>Лист 2х400х520 ГОСТ 19903-2015 сталь С245 ГОСТ 27772-2015</t>
  </si>
  <si>
    <t>15,7*0,4*0,52*2*2</t>
  </si>
  <si>
    <t>(25,12+13,06+1,27+0,33+0,4+0,14+0,21)/1000</t>
  </si>
  <si>
    <t>(0,24*2+0,1*0,05*8+0,33*2+0,52*0,4*2+0,05*0,14-0,3*0,12)*2</t>
  </si>
  <si>
    <t>Бетон В20 F150 W4</t>
  </si>
  <si>
    <t>Установка ремня стяжного кольцевого с храповым механизмом</t>
  </si>
  <si>
    <t>Раздел: 19. Контейнер для инструментов</t>
  </si>
  <si>
    <t>Снятие почвенно-растительного слоя (Слой-2) толщиной 0,4 м I группы бульдозером мощностью 59 кВт</t>
  </si>
  <si>
    <t>Погрузка снятого почвенно-растительного слоя в автомобили-самосвалы экскаватором емк. ковша 0,65 м3</t>
  </si>
  <si>
    <t>1439/2025/5-ИЛО3-ГЧ.24</t>
  </si>
  <si>
    <t>(21,18+27,58)/2*0,3</t>
  </si>
  <si>
    <t>(27,58+43,9)/2*0,65</t>
  </si>
  <si>
    <t>Плотность ПРС 1,2 т/м3</t>
  </si>
  <si>
    <t>23,23*1,2+7,31*1,96</t>
  </si>
  <si>
    <t>Устройство основания под фундаменты толщиной 0,93 м</t>
  </si>
  <si>
    <t>(21,18+43,9)/2*0,93</t>
  </si>
  <si>
    <t>30,26*1,3</t>
  </si>
  <si>
    <t>2,2*4</t>
  </si>
  <si>
    <t>Плита 1П30.18-30 по ГОСТ 21924.2-84</t>
  </si>
  <si>
    <t>0,88*4</t>
  </si>
  <si>
    <t>Устройство гидроизоляции бетонных поверхностей и стыков в 2 слоя</t>
  </si>
  <si>
    <t>0,617*0,4*6/1000</t>
  </si>
  <si>
    <t>Соединение плит между собой скрутками из стали арматурной А240 диам 10 мм ГОСТ 34028-2016 за петли</t>
  </si>
  <si>
    <t>Заделка швов между плитами цементным раствором М100</t>
  </si>
  <si>
    <t>0,1*3</t>
  </si>
  <si>
    <t>Укладка плит дорожных на щебеночное основание</t>
  </si>
  <si>
    <t>Геотекстиль ГОСТ Р 56419-2015 плотностью не менее 300 г/м3</t>
  </si>
  <si>
    <t>Прокладка дна котлована геотекстилем</t>
  </si>
  <si>
    <t>3,0*7,06</t>
  </si>
  <si>
    <t>21,18*0,3</t>
  </si>
  <si>
    <t>(5,21+9,87*0,17)*4+3*0,3*3</t>
  </si>
  <si>
    <t>30,25*5,0</t>
  </si>
  <si>
    <t>30,25*0,16</t>
  </si>
  <si>
    <t>Раздел: 20. Емкость под ВОС</t>
  </si>
  <si>
    <t>(52,32+183,35)/2*4,02</t>
  </si>
  <si>
    <t>(132,31+183,35)/2*1,32-0,5^2*3,14*1,32</t>
  </si>
  <si>
    <t>(52,32+132,31)/2*2,7-0,8^2*3,14*7,7-0,5^2*3,14*0,5-2,49-9,05-2,26</t>
  </si>
  <si>
    <t>219,58*1,23</t>
  </si>
  <si>
    <t>(473,7-207,3)*1,96</t>
  </si>
  <si>
    <t>1439/2025/5-ИЛО3-ГЧ.25</t>
  </si>
  <si>
    <t>2,8*8,9*0,1</t>
  </si>
  <si>
    <t>0,888*(8,65*28+2,55*88+1,86*216)/1000</t>
  </si>
  <si>
    <t>1,578*2,0*10/1000</t>
  </si>
  <si>
    <t>0,617*(2,55*36+0,43*126)/1000</t>
  </si>
  <si>
    <t>0,771+0,032+0,09</t>
  </si>
  <si>
    <t>2,6*8,7*0,4</t>
  </si>
  <si>
    <t>2,6*8,7*0,1</t>
  </si>
  <si>
    <t>2,26*1,23</t>
  </si>
  <si>
    <t>Ремень стяжной шириной 75 мм длиной 8 м Рст 5/10 по ГОСТ Р 58753-2019</t>
  </si>
  <si>
    <t>2,6*8,7+22,6*0,4</t>
  </si>
  <si>
    <t>31,66*5,0</t>
  </si>
  <si>
    <t>31,66*0,16</t>
  </si>
  <si>
    <t>Ремень стяжной шириной 75 мм длиной 8 м Рст 7/14 по ГОСТ Р 58753-2019</t>
  </si>
  <si>
    <t>0,617*(2,95*52+0,43*208)/1000</t>
  </si>
  <si>
    <t>0,978+0,038+0,15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</si>
</sst>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 tint="0.499984740745262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12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0" fillId="0" borderId="0" xfId="0" applyFill="1" applyAlignment="1"/>
    <xf numFmtId="0" fontId="0" fillId="0" borderId="0" xfId="0" applyAlignment="1">
      <alignment horizontal="center"/>
    </xf>
    <xf numFmtId="0" fontId="0" fillId="0" borderId="0" xfId="0"/>
    <xf numFmtId="0" fontId="0" fillId="0" borderId="0" xfId="0" applyFill="1"/>
    <xf numFmtId="14" fontId="0" fillId="0" borderId="0" xfId="0" applyNumberFormat="1" applyFill="1"/>
    <xf numFmtId="0" fontId="0" fillId="0" borderId="1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/>
    </xf>
    <xf numFmtId="49" fontId="0" fillId="0" borderId="1" xfId="0" applyNumberFormat="1" applyFill="1" applyBorder="1" applyAlignment="1">
      <alignment horizontal="center"/>
    </xf>
    <xf numFmtId="0" fontId="17" fillId="0" borderId="0" xfId="0" applyFont="1" applyFill="1"/>
    <xf numFmtId="0" fontId="17" fillId="0" borderId="0" xfId="0" applyFont="1" applyFill="1" applyAlignment="1"/>
    <xf numFmtId="49" fontId="0" fillId="0" borderId="0" xfId="0" applyNumberFormat="1" applyFill="1"/>
    <xf numFmtId="0" fontId="0" fillId="0" borderId="0" xfId="0" applyFill="1" applyAlignment="1">
      <alignment vertical="center"/>
    </xf>
    <xf numFmtId="0" fontId="0" fillId="0" borderId="0" xfId="0" applyAlignment="1">
      <alignment vertical="center"/>
    </xf>
    <xf numFmtId="0" fontId="0" fillId="0" borderId="1" xfId="0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49" fontId="0" fillId="0" borderId="1" xfId="0" applyNumberFormat="1" applyFill="1" applyBorder="1" applyAlignment="1">
      <alignment horizontal="center" vertical="center"/>
    </xf>
    <xf numFmtId="0" fontId="0" fillId="0" borderId="1" xfId="0" applyFill="1" applyBorder="1"/>
    <xf numFmtId="0" fontId="0" fillId="0" borderId="1" xfId="0" applyFill="1" applyBorder="1" applyAlignment="1">
      <alignment wrapText="1"/>
    </xf>
    <xf numFmtId="0" fontId="0" fillId="0" borderId="1" xfId="0" applyFill="1" applyBorder="1" applyAlignment="1">
      <alignment horizontal="left" vertical="center"/>
    </xf>
    <xf numFmtId="0" fontId="0" fillId="0" borderId="1" xfId="0" applyFill="1" applyBorder="1" applyAlignment="1">
      <alignment horizontal="left" vertical="center" wrapText="1"/>
    </xf>
    <xf numFmtId="0" fontId="0" fillId="0" borderId="1" xfId="0" applyFill="1" applyBorder="1" applyAlignment="1">
      <alignment vertical="center"/>
    </xf>
    <xf numFmtId="0" fontId="0" fillId="0" borderId="1" xfId="0" applyFill="1" applyBorder="1" applyAlignment="1">
      <alignment vertical="center" wrapText="1"/>
    </xf>
    <xf numFmtId="0" fontId="0" fillId="0" borderId="2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 wrapText="1"/>
    </xf>
    <xf numFmtId="0" fontId="0" fillId="0" borderId="1" xfId="0" applyFill="1" applyBorder="1" applyAlignment="1">
      <alignment vertical="top" wrapText="1"/>
    </xf>
    <xf numFmtId="0" fontId="0" fillId="0" borderId="1" xfId="0" applyBorder="1"/>
    <xf numFmtId="49" fontId="15" fillId="0" borderId="1" xfId="0" applyNumberFormat="1" applyFont="1" applyFill="1" applyBorder="1" applyAlignment="1">
      <alignment horizontal="center" vertical="center"/>
    </xf>
    <xf numFmtId="164" fontId="15" fillId="0" borderId="1" xfId="0" applyNumberFormat="1" applyFont="1" applyFill="1" applyBorder="1" applyAlignment="1">
      <alignment horizontal="center" vertical="center"/>
    </xf>
    <xf numFmtId="0" fontId="15" fillId="0" borderId="1" xfId="0" applyFont="1" applyFill="1" applyBorder="1" applyAlignment="1">
      <alignment horizontal="center" vertical="center"/>
    </xf>
    <xf numFmtId="2" fontId="15" fillId="0" borderId="1" xfId="0" applyNumberFormat="1" applyFont="1" applyFill="1" applyBorder="1" applyAlignment="1">
      <alignment horizontal="center" vertical="center"/>
    </xf>
    <xf numFmtId="0" fontId="15" fillId="0" borderId="1" xfId="0" applyNumberFormat="1" applyFont="1" applyFill="1" applyBorder="1" applyAlignment="1">
      <alignment horizontal="center" vertical="center"/>
    </xf>
    <xf numFmtId="0" fontId="0" fillId="0" borderId="2" xfId="0" applyFill="1" applyBorder="1" applyAlignment="1">
      <alignment horizontal="left" vertical="center" wrapText="1"/>
    </xf>
    <xf numFmtId="0" fontId="0" fillId="0" borderId="1" xfId="0" applyFill="1" applyBorder="1" applyAlignment="1">
      <alignment horizontal="left" vertical="top" wrapText="1"/>
    </xf>
    <xf numFmtId="49" fontId="14" fillId="0" borderId="1" xfId="0" applyNumberFormat="1" applyFont="1" applyFill="1" applyBorder="1" applyAlignment="1">
      <alignment horizontal="center" vertical="center"/>
    </xf>
    <xf numFmtId="0" fontId="0" fillId="0" borderId="2" xfId="0" applyNumberFormat="1" applyFill="1" applyBorder="1" applyAlignment="1">
      <alignment horizontal="center" vertical="center"/>
    </xf>
    <xf numFmtId="0" fontId="0" fillId="0" borderId="1" xfId="0" applyNumberFormat="1" applyFill="1" applyBorder="1" applyAlignment="1">
      <alignment horizontal="left" vertical="top"/>
    </xf>
    <xf numFmtId="0" fontId="13" fillId="0" borderId="1" xfId="0" applyFont="1" applyFill="1" applyBorder="1" applyAlignment="1">
      <alignment horizontal="left" vertical="center" wrapText="1"/>
    </xf>
    <xf numFmtId="165" fontId="15" fillId="0" borderId="1" xfId="0" applyNumberFormat="1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horizontal="left" vertical="center" wrapText="1"/>
    </xf>
    <xf numFmtId="0" fontId="11" fillId="0" borderId="1" xfId="0" applyFont="1" applyFill="1" applyBorder="1" applyAlignment="1">
      <alignment horizontal="left" vertical="center" wrapText="1"/>
    </xf>
    <xf numFmtId="0" fontId="9" fillId="0" borderId="1" xfId="0" applyFont="1" applyFill="1" applyBorder="1" applyAlignment="1">
      <alignment horizontal="left" vertical="center"/>
    </xf>
    <xf numFmtId="0" fontId="0" fillId="0" borderId="0" xfId="0" applyFill="1" applyBorder="1"/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vertical="top" wrapText="1"/>
    </xf>
    <xf numFmtId="0" fontId="8" fillId="2" borderId="1" xfId="0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left" vertical="center" wrapText="1"/>
    </xf>
    <xf numFmtId="0" fontId="16" fillId="0" borderId="1" xfId="0" applyFont="1" applyFill="1" applyBorder="1" applyAlignment="1">
      <alignment horizontal="left"/>
    </xf>
    <xf numFmtId="2" fontId="0" fillId="0" borderId="2" xfId="0" applyNumberFormat="1" applyFill="1" applyBorder="1" applyAlignment="1">
      <alignment horizontal="center" vertical="center"/>
    </xf>
    <xf numFmtId="0" fontId="0" fillId="0" borderId="2" xfId="0" applyFill="1" applyBorder="1" applyAlignment="1">
      <alignment horizontal="left" vertical="center"/>
    </xf>
    <xf numFmtId="165" fontId="0" fillId="0" borderId="2" xfId="0" applyNumberFormat="1" applyFill="1" applyBorder="1" applyAlignment="1">
      <alignment horizontal="center" vertical="center"/>
    </xf>
    <xf numFmtId="2" fontId="0" fillId="0" borderId="1" xfId="0" applyNumberFormat="1" applyFill="1" applyBorder="1" applyAlignment="1">
      <alignment horizontal="center" vertical="center"/>
    </xf>
    <xf numFmtId="165" fontId="0" fillId="0" borderId="1" xfId="0" applyNumberFormat="1" applyFill="1" applyBorder="1" applyAlignment="1">
      <alignment horizontal="center" vertical="center"/>
    </xf>
    <xf numFmtId="164" fontId="0" fillId="0" borderId="1" xfId="0" applyNumberForma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left" vertical="center" wrapText="1"/>
    </xf>
    <xf numFmtId="0" fontId="10" fillId="0" borderId="1" xfId="0" applyFont="1" applyFill="1" applyBorder="1" applyAlignment="1">
      <alignment horizontal="center" vertical="center"/>
    </xf>
    <xf numFmtId="2" fontId="10" fillId="0" borderId="1" xfId="0" applyNumberFormat="1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left" vertical="center" wrapText="1"/>
    </xf>
    <xf numFmtId="165" fontId="10" fillId="0" borderId="1" xfId="0" applyNumberFormat="1" applyFont="1" applyFill="1" applyBorder="1" applyAlignment="1">
      <alignment horizontal="center" vertical="center"/>
    </xf>
    <xf numFmtId="0" fontId="0" fillId="0" borderId="2" xfId="0" applyFill="1" applyBorder="1" applyAlignment="1">
      <alignment vertical="center" wrapText="1"/>
    </xf>
    <xf numFmtId="0" fontId="0" fillId="0" borderId="2" xfId="0" applyFill="1" applyBorder="1" applyAlignment="1">
      <alignment vertical="top" wrapText="1"/>
    </xf>
    <xf numFmtId="1" fontId="0" fillId="0" borderId="1" xfId="0" applyNumberFormat="1" applyFill="1" applyBorder="1" applyAlignment="1">
      <alignment horizontal="center" vertical="center"/>
    </xf>
    <xf numFmtId="0" fontId="0" fillId="0" borderId="1" xfId="0" applyFill="1" applyBorder="1" applyAlignment="1">
      <alignment vertical="top"/>
    </xf>
    <xf numFmtId="0" fontId="0" fillId="0" borderId="0" xfId="0" applyFill="1" applyAlignment="1">
      <alignment vertical="top"/>
    </xf>
    <xf numFmtId="0" fontId="8" fillId="0" borderId="1" xfId="0" applyFont="1" applyFill="1" applyBorder="1" applyAlignment="1">
      <alignment horizontal="center" vertical="center"/>
    </xf>
    <xf numFmtId="2" fontId="8" fillId="0" borderId="1" xfId="0" applyNumberFormat="1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left" vertical="center" wrapText="1"/>
    </xf>
    <xf numFmtId="165" fontId="8" fillId="0" borderId="1" xfId="0" applyNumberFormat="1" applyFont="1" applyFill="1" applyBorder="1" applyAlignment="1">
      <alignment horizontal="center" vertical="center"/>
    </xf>
    <xf numFmtId="164" fontId="8" fillId="0" borderId="1" xfId="0" applyNumberFormat="1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left" vertical="center" wrapText="1"/>
    </xf>
    <xf numFmtId="1" fontId="8" fillId="0" borderId="1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left" vertical="top"/>
    </xf>
    <xf numFmtId="49" fontId="6" fillId="0" borderId="1" xfId="0" applyNumberFormat="1" applyFont="1" applyFill="1" applyBorder="1" applyAlignment="1">
      <alignment horizontal="center" vertical="center"/>
    </xf>
    <xf numFmtId="2" fontId="6" fillId="0" borderId="1" xfId="0" applyNumberFormat="1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left" vertical="center"/>
    </xf>
    <xf numFmtId="0" fontId="6" fillId="0" borderId="1" xfId="0" applyFont="1" applyFill="1" applyBorder="1" applyAlignment="1">
      <alignment horizontal="left" vertical="center" wrapText="1"/>
    </xf>
    <xf numFmtId="0" fontId="6" fillId="0" borderId="1" xfId="0" applyFont="1" applyFill="1" applyBorder="1" applyAlignment="1">
      <alignment horizontal="center" vertical="center"/>
    </xf>
    <xf numFmtId="165" fontId="6" fillId="0" borderId="1" xfId="0" applyNumberFormat="1" applyFont="1" applyFill="1" applyBorder="1" applyAlignment="1">
      <alignment horizontal="center" vertical="center"/>
    </xf>
    <xf numFmtId="49" fontId="8" fillId="0" borderId="1" xfId="0" applyNumberFormat="1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left" vertical="center" wrapText="1"/>
    </xf>
    <xf numFmtId="0" fontId="0" fillId="2" borderId="1" xfId="0" applyFill="1" applyBorder="1" applyAlignment="1">
      <alignment horizontal="left" vertical="top" wrapText="1"/>
    </xf>
    <xf numFmtId="0" fontId="0" fillId="2" borderId="2" xfId="0" applyFill="1" applyBorder="1" applyAlignment="1">
      <alignment horizontal="left" vertical="center" wrapText="1"/>
    </xf>
    <xf numFmtId="0" fontId="0" fillId="2" borderId="2" xfId="0" applyFill="1" applyBorder="1" applyAlignment="1">
      <alignment horizontal="center" vertical="center"/>
    </xf>
    <xf numFmtId="49" fontId="16" fillId="0" borderId="1" xfId="0" applyNumberFormat="1" applyFont="1" applyFill="1" applyBorder="1" applyAlignment="1">
      <alignment horizontal="left" vertical="center"/>
    </xf>
    <xf numFmtId="49" fontId="16" fillId="0" borderId="1" xfId="0" applyNumberFormat="1" applyFont="1" applyFill="1" applyBorder="1" applyAlignment="1">
      <alignment horizontal="left" vertical="center"/>
    </xf>
    <xf numFmtId="49" fontId="16" fillId="0" borderId="3" xfId="0" applyNumberFormat="1" applyFont="1" applyFill="1" applyBorder="1" applyAlignment="1">
      <alignment horizontal="left" vertical="center"/>
    </xf>
    <xf numFmtId="49" fontId="16" fillId="0" borderId="4" xfId="0" applyNumberFormat="1" applyFont="1" applyFill="1" applyBorder="1" applyAlignment="1">
      <alignment horizontal="left" vertical="center"/>
    </xf>
    <xf numFmtId="49" fontId="16" fillId="0" borderId="5" xfId="0" applyNumberFormat="1" applyFont="1" applyFill="1" applyBorder="1" applyAlignment="1">
      <alignment horizontal="left" vertical="center"/>
    </xf>
    <xf numFmtId="0" fontId="16" fillId="0" borderId="3" xfId="0" applyFont="1" applyFill="1" applyBorder="1" applyAlignment="1">
      <alignment horizontal="left"/>
    </xf>
    <xf numFmtId="0" fontId="16" fillId="0" borderId="4" xfId="0" applyFont="1" applyFill="1" applyBorder="1" applyAlignment="1">
      <alignment horizontal="left"/>
    </xf>
    <xf numFmtId="0" fontId="16" fillId="0" borderId="5" xfId="0" applyFont="1" applyFill="1" applyBorder="1" applyAlignment="1">
      <alignment horizontal="left"/>
    </xf>
    <xf numFmtId="0" fontId="16" fillId="0" borderId="3" xfId="0" applyFont="1" applyFill="1" applyBorder="1" applyAlignment="1">
      <alignment horizontal="left" vertical="center"/>
    </xf>
    <xf numFmtId="0" fontId="16" fillId="0" borderId="4" xfId="0" applyFont="1" applyFill="1" applyBorder="1" applyAlignment="1">
      <alignment horizontal="left" vertical="center"/>
    </xf>
    <xf numFmtId="0" fontId="16" fillId="0" borderId="5" xfId="0" applyFont="1" applyFill="1" applyBorder="1" applyAlignment="1">
      <alignment horizontal="left" vertical="center"/>
    </xf>
    <xf numFmtId="49" fontId="16" fillId="2" borderId="1" xfId="0" applyNumberFormat="1" applyFont="1" applyFill="1" applyBorder="1" applyAlignment="1">
      <alignment horizontal="left" vertical="center"/>
    </xf>
    <xf numFmtId="0" fontId="0" fillId="0" borderId="6" xfId="0" applyFill="1" applyBorder="1" applyAlignment="1">
      <alignment horizontal="left" vertical="center" wrapText="1"/>
    </xf>
    <xf numFmtId="166" fontId="0" fillId="0" borderId="1" xfId="0" applyNumberFormat="1" applyFill="1" applyBorder="1" applyAlignment="1">
      <alignment horizontal="center" vertical="center"/>
    </xf>
    <xf numFmtId="2" fontId="8" fillId="2" borderId="1" xfId="0" applyNumberFormat="1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165" fontId="8" fillId="2" borderId="1" xfId="0" applyNumberFormat="1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&#1040;&#1083;&#1072;&#1073;&#1091;&#1075;&#1072;_&#1055;&#1072;&#1088;&#1082;%20&#1086;&#1090;&#1089;&#1090;&#1086;&#1103;\03_&#1055;&#1088;&#1086;&#1077;&#1082;&#1090;\02_&#1057;&#1090;&#1072;&#1076;&#1080;&#1103;%20&#1055;&#1044;\05_&#1056;&#1077;&#1076;\4%20&#1069;&#1090;&#1072;&#1087;\4.1.3.%201439_2025_4-&#1048;&#1051;&#1054;1.3%20(&#1055;&#1072;&#1088;&#1082;_&#1050;&#1056;)\4.1.3.%201439_2025_4-&#1048;&#1051;&#1054;1.3.&#1042;&#1054;&#1056;%20(&#1055;&#1072;&#1088;&#1082;_&#1050;&#1056;)%2026.07.09.xlsx" TargetMode="External"/><Relationship Id="rId1" Type="http://schemas.openxmlformats.org/officeDocument/2006/relationships/externalLinkPath" Target="/&#1040;&#1083;&#1072;&#1073;&#1091;&#1075;&#1072;_&#1055;&#1072;&#1088;&#1082;%20&#1086;&#1090;&#1089;&#1090;&#1086;&#1103;/03_&#1055;&#1088;&#1086;&#1077;&#1082;&#1090;/02_&#1057;&#1090;&#1072;&#1076;&#1080;&#1103;%20&#1055;&#1044;/05_&#1056;&#1077;&#1076;/4%20&#1069;&#1090;&#1072;&#1087;/4.1.3.%201439_2025_4-&#1048;&#1051;&#1054;1.3%20(&#1055;&#1072;&#1088;&#1082;_&#1050;&#1056;)/4.1.3.%201439_2025_4-&#1048;&#1051;&#1054;1.3.&#1042;&#1054;&#1056;%20(&#1055;&#1072;&#1088;&#1082;_&#1050;&#1056;)%2026.07.09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Вариант для импорта"/>
    </sheetNames>
    <sheetDataSet>
      <sheetData sheetId="0">
        <row r="159">
          <cell r="A159">
            <v>122</v>
          </cell>
        </row>
      </sheetData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543"/>
  <sheetViews>
    <sheetView tabSelected="1" topLeftCell="A532" zoomScale="85" zoomScaleNormal="85" workbookViewId="0">
      <selection activeCell="D227" sqref="D227"/>
    </sheetView>
  </sheetViews>
  <sheetFormatPr defaultColWidth="9.140625" defaultRowHeight="15" x14ac:dyDescent="0.25"/>
  <cols>
    <col min="1" max="1" width="16" style="6" customWidth="1"/>
    <col min="2" max="2" width="41.85546875" style="6" customWidth="1"/>
    <col min="3" max="3" width="11.28515625" style="6" customWidth="1"/>
    <col min="4" max="4" width="19" style="6" customWidth="1"/>
    <col min="5" max="5" width="24" style="6" customWidth="1"/>
    <col min="6" max="6" width="41.85546875" style="6" customWidth="1"/>
    <col min="7" max="7" width="23.28515625" style="14" customWidth="1"/>
    <col min="8" max="8" width="20.28515625" style="13" customWidth="1"/>
    <col min="9" max="9" width="30.28515625" style="6" customWidth="1"/>
    <col min="10" max="10" width="9.140625" style="17"/>
    <col min="11" max="11" width="10.42578125" style="14" customWidth="1"/>
    <col min="12" max="16384" width="9.140625" style="6"/>
  </cols>
  <sheetData>
    <row r="1" spans="1:11" x14ac:dyDescent="0.25">
      <c r="A1" s="11" t="s">
        <v>10</v>
      </c>
      <c r="D1" s="6" t="s">
        <v>11</v>
      </c>
      <c r="H1" s="6"/>
    </row>
    <row r="2" spans="1:11" x14ac:dyDescent="0.25">
      <c r="A2" s="11" t="s">
        <v>12</v>
      </c>
      <c r="D2" s="6" t="s">
        <v>29</v>
      </c>
      <c r="H2" s="6"/>
    </row>
    <row r="3" spans="1:11" x14ac:dyDescent="0.25">
      <c r="A3" s="11"/>
      <c r="H3" s="6"/>
    </row>
    <row r="4" spans="1:11" s="5" customFormat="1" x14ac:dyDescent="0.25">
      <c r="A4" s="12" t="s">
        <v>13</v>
      </c>
      <c r="B4" s="3"/>
      <c r="C4" s="3"/>
      <c r="D4" s="3" t="s">
        <v>44</v>
      </c>
      <c r="E4" s="3"/>
      <c r="F4" s="3"/>
      <c r="G4" s="14"/>
      <c r="H4" s="3"/>
      <c r="I4" s="3"/>
      <c r="J4" s="18"/>
      <c r="K4" s="15"/>
    </row>
    <row r="5" spans="1:11" s="5" customFormat="1" x14ac:dyDescent="0.25">
      <c r="A5" s="12" t="s">
        <v>9</v>
      </c>
      <c r="B5" s="3"/>
      <c r="C5" s="3"/>
      <c r="D5" s="5" t="s">
        <v>61</v>
      </c>
      <c r="E5" s="3"/>
      <c r="F5" s="3"/>
      <c r="G5" s="14"/>
      <c r="H5" s="3"/>
      <c r="I5" s="3"/>
      <c r="J5" s="18"/>
      <c r="K5" s="15"/>
    </row>
    <row r="6" spans="1:11" s="5" customFormat="1" x14ac:dyDescent="0.25">
      <c r="A6" s="12" t="s">
        <v>14</v>
      </c>
      <c r="B6" s="3"/>
      <c r="C6" s="3"/>
      <c r="D6" s="29" t="s">
        <v>385</v>
      </c>
      <c r="E6" s="3"/>
      <c r="F6" s="3"/>
      <c r="G6" s="14"/>
      <c r="H6" s="3"/>
      <c r="I6" s="3"/>
      <c r="J6" s="18"/>
      <c r="K6" s="15"/>
    </row>
    <row r="7" spans="1:11" s="5" customFormat="1" x14ac:dyDescent="0.25">
      <c r="A7" s="12" t="s">
        <v>54</v>
      </c>
      <c r="B7" s="3"/>
      <c r="C7" s="3"/>
      <c r="D7" s="3" t="s">
        <v>60</v>
      </c>
      <c r="E7" s="3"/>
      <c r="F7" s="3"/>
      <c r="G7" s="14"/>
      <c r="H7" s="3"/>
      <c r="I7" s="3"/>
      <c r="J7" s="18"/>
      <c r="K7" s="15"/>
    </row>
    <row r="8" spans="1:11" s="5" customFormat="1" x14ac:dyDescent="0.25">
      <c r="A8" s="12" t="s">
        <v>15</v>
      </c>
      <c r="B8" s="6"/>
      <c r="C8" s="6"/>
      <c r="D8" s="7">
        <v>46113</v>
      </c>
      <c r="E8" s="6"/>
      <c r="G8" s="14"/>
      <c r="H8" s="6"/>
      <c r="I8" s="6"/>
      <c r="J8" s="18"/>
      <c r="K8" s="15"/>
    </row>
    <row r="9" spans="1:11" s="5" customFormat="1" x14ac:dyDescent="0.25">
      <c r="A9" s="12"/>
      <c r="B9" s="6"/>
      <c r="C9" s="6"/>
      <c r="D9" s="6"/>
      <c r="E9" s="6"/>
      <c r="F9" s="6"/>
      <c r="G9" s="14"/>
      <c r="H9" s="6"/>
      <c r="I9" s="6"/>
      <c r="J9" s="18"/>
      <c r="K9" s="15"/>
    </row>
    <row r="10" spans="1:11" s="5" customFormat="1" x14ac:dyDescent="0.25">
      <c r="A10" s="12" t="s">
        <v>16</v>
      </c>
      <c r="B10" s="6"/>
      <c r="C10" s="6"/>
      <c r="D10" s="6" t="s">
        <v>34</v>
      </c>
      <c r="E10" s="6"/>
      <c r="F10" s="6"/>
      <c r="G10" s="14"/>
      <c r="H10" s="6"/>
      <c r="I10" s="6"/>
      <c r="J10" s="18"/>
      <c r="K10" s="15"/>
    </row>
    <row r="11" spans="1:11" s="5" customFormat="1" x14ac:dyDescent="0.25">
      <c r="A11" s="12" t="s">
        <v>17</v>
      </c>
      <c r="B11" s="6"/>
      <c r="C11" s="6"/>
      <c r="D11" s="45" t="s">
        <v>386</v>
      </c>
      <c r="E11" s="6"/>
      <c r="F11" s="6"/>
      <c r="G11" s="14"/>
      <c r="H11" s="6"/>
      <c r="I11" s="6"/>
      <c r="J11" s="18"/>
      <c r="K11" s="15"/>
    </row>
    <row r="12" spans="1:11" s="5" customFormat="1" x14ac:dyDescent="0.25">
      <c r="A12" s="12" t="s">
        <v>18</v>
      </c>
      <c r="B12" s="6"/>
      <c r="C12" s="6"/>
      <c r="D12" s="6" t="s">
        <v>35</v>
      </c>
      <c r="E12" s="6"/>
      <c r="F12" s="6"/>
      <c r="G12" s="14"/>
      <c r="H12" s="6"/>
      <c r="I12" s="6"/>
      <c r="J12" s="18"/>
      <c r="K12" s="15"/>
    </row>
    <row r="13" spans="1:11" s="5" customFormat="1" x14ac:dyDescent="0.25">
      <c r="A13" s="12" t="s">
        <v>19</v>
      </c>
      <c r="B13" s="6"/>
      <c r="C13" s="6"/>
      <c r="D13" s="6" t="s">
        <v>387</v>
      </c>
      <c r="E13" s="6"/>
      <c r="F13" s="6"/>
      <c r="G13" s="14"/>
      <c r="H13" s="6"/>
      <c r="I13" s="6"/>
      <c r="J13" s="18"/>
      <c r="K13" s="15"/>
    </row>
    <row r="14" spans="1:11" s="5" customFormat="1" x14ac:dyDescent="0.25">
      <c r="A14" s="6"/>
      <c r="B14" s="6"/>
      <c r="C14" s="6"/>
      <c r="D14" s="6"/>
      <c r="E14" s="6"/>
      <c r="F14" s="6"/>
      <c r="G14" s="14"/>
      <c r="H14" s="6"/>
      <c r="I14" s="6"/>
      <c r="J14" s="18"/>
      <c r="K14" s="15"/>
    </row>
    <row r="15" spans="1:11" s="2" customFormat="1" ht="60.75" customHeight="1" x14ac:dyDescent="0.25">
      <c r="A15" s="8" t="s">
        <v>0</v>
      </c>
      <c r="B15" s="8" t="s">
        <v>1</v>
      </c>
      <c r="C15" s="8" t="s">
        <v>2</v>
      </c>
      <c r="D15" s="8" t="s">
        <v>3</v>
      </c>
      <c r="E15" s="8" t="s">
        <v>4</v>
      </c>
      <c r="F15" s="8" t="s">
        <v>5</v>
      </c>
      <c r="G15" s="8" t="s">
        <v>20</v>
      </c>
      <c r="H15" s="8" t="s">
        <v>22</v>
      </c>
      <c r="I15" s="8" t="s">
        <v>25</v>
      </c>
      <c r="J15" s="8" t="s">
        <v>23</v>
      </c>
      <c r="K15" s="8" t="s">
        <v>24</v>
      </c>
    </row>
    <row r="16" spans="1:11" s="4" customFormat="1" x14ac:dyDescent="0.25">
      <c r="A16" s="9">
        <v>1</v>
      </c>
      <c r="B16" s="9">
        <v>2</v>
      </c>
      <c r="C16" s="9">
        <v>3</v>
      </c>
      <c r="D16" s="9">
        <v>4</v>
      </c>
      <c r="E16" s="9">
        <v>5</v>
      </c>
      <c r="F16" s="9">
        <v>6</v>
      </c>
      <c r="G16" s="19" t="s">
        <v>7</v>
      </c>
      <c r="H16" s="10" t="s">
        <v>8</v>
      </c>
      <c r="I16" s="9">
        <v>7</v>
      </c>
      <c r="J16" s="16">
        <v>8</v>
      </c>
      <c r="K16" s="16">
        <v>9</v>
      </c>
    </row>
    <row r="17" spans="1:11" s="4" customFormat="1" x14ac:dyDescent="0.25">
      <c r="A17" s="99" t="s">
        <v>55</v>
      </c>
      <c r="B17" s="100"/>
      <c r="C17" s="100"/>
      <c r="D17" s="100"/>
      <c r="E17" s="100"/>
      <c r="F17" s="100"/>
      <c r="G17" s="100"/>
      <c r="H17" s="100"/>
      <c r="I17" s="100"/>
      <c r="J17" s="100"/>
      <c r="K17" s="101"/>
    </row>
    <row r="18" spans="1:11" s="4" customFormat="1" x14ac:dyDescent="0.25">
      <c r="A18" s="99" t="s">
        <v>26</v>
      </c>
      <c r="B18" s="100"/>
      <c r="C18" s="100"/>
      <c r="D18" s="100"/>
      <c r="E18" s="100"/>
      <c r="F18" s="100"/>
      <c r="G18" s="100"/>
      <c r="H18" s="100"/>
      <c r="I18" s="100"/>
      <c r="J18" s="100"/>
      <c r="K18" s="101"/>
    </row>
    <row r="19" spans="1:11" s="4" customFormat="1" ht="90" x14ac:dyDescent="0.25">
      <c r="A19" s="38">
        <v>1</v>
      </c>
      <c r="B19" s="35" t="s">
        <v>45</v>
      </c>
      <c r="C19" s="26" t="s">
        <v>21</v>
      </c>
      <c r="D19" s="57">
        <f>3.9*4.4*0.4*2</f>
        <v>13.728000000000002</v>
      </c>
      <c r="E19" s="58" t="s">
        <v>460</v>
      </c>
      <c r="F19" s="24" t="s">
        <v>92</v>
      </c>
      <c r="G19" s="21" t="s">
        <v>66</v>
      </c>
      <c r="H19" s="39">
        <v>33</v>
      </c>
      <c r="I19" s="36" t="s">
        <v>59</v>
      </c>
      <c r="J19" s="16"/>
      <c r="K19" s="16"/>
    </row>
    <row r="20" spans="1:11" s="4" customFormat="1" ht="60" x14ac:dyDescent="0.25">
      <c r="A20" s="16">
        <f>A19+1</f>
        <v>2</v>
      </c>
      <c r="B20" s="35" t="s">
        <v>398</v>
      </c>
      <c r="C20" s="16" t="s">
        <v>6</v>
      </c>
      <c r="D20" s="57">
        <f>(D19-D21)*1.96</f>
        <v>7.5028799999999984</v>
      </c>
      <c r="E20" s="58" t="s">
        <v>461</v>
      </c>
      <c r="F20" s="24" t="s">
        <v>92</v>
      </c>
      <c r="G20" s="21" t="s">
        <v>66</v>
      </c>
      <c r="H20" s="39">
        <v>33</v>
      </c>
      <c r="I20" s="8"/>
      <c r="J20" s="16"/>
      <c r="K20" s="16"/>
    </row>
    <row r="21" spans="1:11" s="4" customFormat="1" ht="45" x14ac:dyDescent="0.25">
      <c r="A21" s="16">
        <f t="shared" ref="A21:A22" si="0">A20+1</f>
        <v>3</v>
      </c>
      <c r="B21" s="25" t="s">
        <v>46</v>
      </c>
      <c r="C21" s="16" t="s">
        <v>21</v>
      </c>
      <c r="D21" s="57">
        <f>D19-D24-D29</f>
        <v>9.9000000000000021</v>
      </c>
      <c r="E21" s="58" t="s">
        <v>462</v>
      </c>
      <c r="F21" s="24" t="s">
        <v>92</v>
      </c>
      <c r="G21" s="21" t="s">
        <v>66</v>
      </c>
      <c r="H21" s="39">
        <v>33</v>
      </c>
      <c r="I21" s="9"/>
      <c r="J21" s="16"/>
      <c r="K21" s="16"/>
    </row>
    <row r="22" spans="1:11" s="4" customFormat="1" ht="45" x14ac:dyDescent="0.25">
      <c r="A22" s="16">
        <f t="shared" si="0"/>
        <v>4</v>
      </c>
      <c r="B22" s="25" t="s">
        <v>33</v>
      </c>
      <c r="C22" s="16" t="s">
        <v>21</v>
      </c>
      <c r="D22" s="57">
        <f>D21</f>
        <v>9.9000000000000021</v>
      </c>
      <c r="E22" s="58" t="s">
        <v>462</v>
      </c>
      <c r="F22" s="24" t="s">
        <v>92</v>
      </c>
      <c r="G22" s="21" t="s">
        <v>66</v>
      </c>
      <c r="H22" s="39">
        <v>33</v>
      </c>
      <c r="I22" s="9"/>
      <c r="J22" s="16"/>
      <c r="K22" s="16"/>
    </row>
    <row r="23" spans="1:11" s="4" customFormat="1" x14ac:dyDescent="0.25">
      <c r="A23" s="99" t="s">
        <v>27</v>
      </c>
      <c r="B23" s="100"/>
      <c r="C23" s="100"/>
      <c r="D23" s="100"/>
      <c r="E23" s="100"/>
      <c r="F23" s="100"/>
      <c r="G23" s="100"/>
      <c r="H23" s="100"/>
      <c r="I23" s="100"/>
      <c r="J23" s="100"/>
      <c r="K23" s="101"/>
    </row>
    <row r="24" spans="1:11" s="4" customFormat="1" ht="45" x14ac:dyDescent="0.25">
      <c r="A24" s="16">
        <f>A22+1</f>
        <v>5</v>
      </c>
      <c r="B24" s="25" t="s">
        <v>40</v>
      </c>
      <c r="C24" s="16" t="s">
        <v>21</v>
      </c>
      <c r="D24" s="57">
        <f>2.1*2.6*0.1*2</f>
        <v>1.0920000000000003</v>
      </c>
      <c r="E24" s="58" t="s">
        <v>463</v>
      </c>
      <c r="F24" s="24" t="s">
        <v>92</v>
      </c>
      <c r="G24" s="21" t="s">
        <v>66</v>
      </c>
      <c r="H24" s="39">
        <v>33</v>
      </c>
      <c r="I24" s="9"/>
      <c r="J24" s="16"/>
      <c r="K24" s="16"/>
    </row>
    <row r="25" spans="1:11" s="4" customFormat="1" ht="45" x14ac:dyDescent="0.25">
      <c r="A25" s="16">
        <f>A24+1</f>
        <v>6</v>
      </c>
      <c r="B25" s="25" t="s">
        <v>36</v>
      </c>
      <c r="C25" s="16" t="s">
        <v>21</v>
      </c>
      <c r="D25" s="57">
        <f>D24</f>
        <v>1.0920000000000003</v>
      </c>
      <c r="E25" s="58" t="s">
        <v>463</v>
      </c>
      <c r="F25" s="24" t="s">
        <v>92</v>
      </c>
      <c r="G25" s="21" t="s">
        <v>66</v>
      </c>
      <c r="H25" s="39">
        <v>33</v>
      </c>
      <c r="I25" s="9"/>
      <c r="J25" s="16"/>
      <c r="K25" s="16"/>
    </row>
    <row r="26" spans="1:11" s="4" customFormat="1" ht="45" x14ac:dyDescent="0.25">
      <c r="A26" s="16">
        <f t="shared" ref="A26:A33" si="1">A25+1</f>
        <v>7</v>
      </c>
      <c r="B26" s="23" t="s">
        <v>28</v>
      </c>
      <c r="C26" s="16" t="s">
        <v>6</v>
      </c>
      <c r="D26" s="59">
        <f>D27+D28</f>
        <v>0.26136935999999994</v>
      </c>
      <c r="E26" s="58" t="s">
        <v>464</v>
      </c>
      <c r="F26" s="24" t="s">
        <v>92</v>
      </c>
      <c r="G26" s="21" t="s">
        <v>66</v>
      </c>
      <c r="H26" s="39">
        <v>33</v>
      </c>
      <c r="I26" s="9"/>
      <c r="J26" s="16"/>
      <c r="K26" s="16"/>
    </row>
    <row r="27" spans="1:11" s="4" customFormat="1" ht="45" x14ac:dyDescent="0.25">
      <c r="A27" s="16">
        <f t="shared" si="1"/>
        <v>8</v>
      </c>
      <c r="B27" s="23" t="s">
        <v>32</v>
      </c>
      <c r="C27" s="16" t="s">
        <v>6</v>
      </c>
      <c r="D27" s="59">
        <f>0.888*(1.85*13*2+2.35*10*2+1.39*32)/1000*2</f>
        <v>0.24789407999999996</v>
      </c>
      <c r="E27" s="35" t="s">
        <v>465</v>
      </c>
      <c r="F27" s="24" t="s">
        <v>92</v>
      </c>
      <c r="G27" s="21" t="s">
        <v>66</v>
      </c>
      <c r="H27" s="39">
        <v>33</v>
      </c>
      <c r="I27" s="9"/>
      <c r="J27" s="16"/>
      <c r="K27" s="16"/>
    </row>
    <row r="28" spans="1:11" s="4" customFormat="1" ht="45" x14ac:dyDescent="0.25">
      <c r="A28" s="16">
        <f t="shared" si="1"/>
        <v>9</v>
      </c>
      <c r="B28" s="23" t="s">
        <v>37</v>
      </c>
      <c r="C28" s="16" t="s">
        <v>6</v>
      </c>
      <c r="D28" s="59">
        <f>0.617*0.91*12/1000*2</f>
        <v>1.3475280000000001E-2</v>
      </c>
      <c r="E28" s="58" t="s">
        <v>466</v>
      </c>
      <c r="F28" s="24" t="s">
        <v>92</v>
      </c>
      <c r="G28" s="21" t="s">
        <v>66</v>
      </c>
      <c r="H28" s="39">
        <v>33</v>
      </c>
      <c r="I28" s="9"/>
      <c r="J28" s="16"/>
      <c r="K28" s="16"/>
    </row>
    <row r="29" spans="1:11" s="4" customFormat="1" ht="45" x14ac:dyDescent="0.25">
      <c r="A29" s="16">
        <f t="shared" si="1"/>
        <v>10</v>
      </c>
      <c r="B29" s="25" t="s">
        <v>38</v>
      </c>
      <c r="C29" s="16" t="s">
        <v>21</v>
      </c>
      <c r="D29" s="57">
        <f>1.9*2.4*0.3*2</f>
        <v>2.7359999999999998</v>
      </c>
      <c r="E29" s="58" t="s">
        <v>467</v>
      </c>
      <c r="F29" s="24" t="s">
        <v>92</v>
      </c>
      <c r="G29" s="21" t="s">
        <v>66</v>
      </c>
      <c r="H29" s="39">
        <v>33</v>
      </c>
      <c r="I29" s="9"/>
      <c r="J29" s="16"/>
      <c r="K29" s="16"/>
    </row>
    <row r="30" spans="1:11" s="4" customFormat="1" ht="45" x14ac:dyDescent="0.25">
      <c r="A30" s="16">
        <f t="shared" si="1"/>
        <v>11</v>
      </c>
      <c r="B30" s="22" t="s">
        <v>41</v>
      </c>
      <c r="C30" s="16" t="s">
        <v>21</v>
      </c>
      <c r="D30" s="57">
        <f>D29</f>
        <v>2.7359999999999998</v>
      </c>
      <c r="E30" s="58" t="s">
        <v>467</v>
      </c>
      <c r="F30" s="24" t="s">
        <v>92</v>
      </c>
      <c r="G30" s="21" t="s">
        <v>66</v>
      </c>
      <c r="H30" s="39">
        <v>33</v>
      </c>
      <c r="I30" s="9"/>
      <c r="J30" s="16"/>
      <c r="K30" s="16"/>
    </row>
    <row r="31" spans="1:11" s="4" customFormat="1" ht="45" x14ac:dyDescent="0.25">
      <c r="A31" s="16">
        <f t="shared" si="1"/>
        <v>12</v>
      </c>
      <c r="B31" s="23" t="s">
        <v>39</v>
      </c>
      <c r="C31" s="16" t="s">
        <v>30</v>
      </c>
      <c r="D31" s="57">
        <f>(1.9+2.4)*2*0.3*2</f>
        <v>5.1599999999999993</v>
      </c>
      <c r="E31" s="58" t="s">
        <v>468</v>
      </c>
      <c r="F31" s="24" t="s">
        <v>92</v>
      </c>
      <c r="G31" s="21" t="s">
        <v>66</v>
      </c>
      <c r="H31" s="39">
        <v>33</v>
      </c>
      <c r="I31" s="9"/>
      <c r="J31" s="16"/>
      <c r="K31" s="16"/>
    </row>
    <row r="32" spans="1:11" s="4" customFormat="1" ht="45" x14ac:dyDescent="0.25">
      <c r="A32" s="16">
        <f t="shared" si="1"/>
        <v>13</v>
      </c>
      <c r="B32" s="23" t="s">
        <v>42</v>
      </c>
      <c r="C32" s="16" t="s">
        <v>31</v>
      </c>
      <c r="D32" s="57">
        <f>D31*5</f>
        <v>25.799999999999997</v>
      </c>
      <c r="E32" s="58" t="s">
        <v>469</v>
      </c>
      <c r="F32" s="24" t="s">
        <v>92</v>
      </c>
      <c r="G32" s="21" t="s">
        <v>66</v>
      </c>
      <c r="H32" s="39">
        <v>33</v>
      </c>
      <c r="I32" s="9"/>
      <c r="J32" s="16"/>
      <c r="K32" s="16"/>
    </row>
    <row r="33" spans="1:11" s="4" customFormat="1" ht="45" x14ac:dyDescent="0.25">
      <c r="A33" s="16">
        <f t="shared" si="1"/>
        <v>14</v>
      </c>
      <c r="B33" s="23" t="s">
        <v>43</v>
      </c>
      <c r="C33" s="16" t="s">
        <v>31</v>
      </c>
      <c r="D33" s="57">
        <f>D31*0.16</f>
        <v>0.82559999999999989</v>
      </c>
      <c r="E33" s="58" t="s">
        <v>470</v>
      </c>
      <c r="F33" s="24" t="s">
        <v>92</v>
      </c>
      <c r="G33" s="21" t="s">
        <v>66</v>
      </c>
      <c r="H33" s="39">
        <v>33</v>
      </c>
      <c r="I33" s="9"/>
      <c r="J33" s="16"/>
      <c r="K33" s="16"/>
    </row>
    <row r="34" spans="1:11" s="4" customFormat="1" x14ac:dyDescent="0.25">
      <c r="A34" s="99" t="s">
        <v>56</v>
      </c>
      <c r="B34" s="100"/>
      <c r="C34" s="100"/>
      <c r="D34" s="100"/>
      <c r="E34" s="100"/>
      <c r="F34" s="100"/>
      <c r="G34" s="100"/>
      <c r="H34" s="100"/>
      <c r="I34" s="100"/>
      <c r="J34" s="100"/>
      <c r="K34" s="101"/>
    </row>
    <row r="35" spans="1:11" s="5" customFormat="1" x14ac:dyDescent="0.25">
      <c r="A35" s="99" t="s">
        <v>26</v>
      </c>
      <c r="B35" s="100"/>
      <c r="C35" s="100"/>
      <c r="D35" s="100"/>
      <c r="E35" s="100"/>
      <c r="F35" s="100"/>
      <c r="G35" s="100"/>
      <c r="H35" s="100"/>
      <c r="I35" s="100"/>
      <c r="J35" s="100"/>
      <c r="K35" s="101"/>
    </row>
    <row r="36" spans="1:11" s="5" customFormat="1" ht="90" x14ac:dyDescent="0.25">
      <c r="A36" s="38">
        <f>A33+1</f>
        <v>15</v>
      </c>
      <c r="B36" s="35" t="s">
        <v>45</v>
      </c>
      <c r="C36" s="26" t="s">
        <v>21</v>
      </c>
      <c r="D36" s="57">
        <f>9.9*5.3*0.4</f>
        <v>20.988</v>
      </c>
      <c r="E36" s="58" t="s">
        <v>454</v>
      </c>
      <c r="F36" s="24" t="s">
        <v>93</v>
      </c>
      <c r="G36" s="21" t="s">
        <v>66</v>
      </c>
      <c r="H36" s="39">
        <v>34</v>
      </c>
      <c r="I36" s="36" t="s">
        <v>59</v>
      </c>
      <c r="J36" s="56"/>
      <c r="K36" s="56"/>
    </row>
    <row r="37" spans="1:11" s="5" customFormat="1" ht="60" x14ac:dyDescent="0.25">
      <c r="A37" s="38">
        <f>A36+1</f>
        <v>16</v>
      </c>
      <c r="B37" s="35" t="s">
        <v>398</v>
      </c>
      <c r="C37" s="16" t="s">
        <v>6</v>
      </c>
      <c r="D37" s="60">
        <f>(D36-D38)*1.96</f>
        <v>20.885760000000001</v>
      </c>
      <c r="E37" s="22" t="s">
        <v>456</v>
      </c>
      <c r="F37" s="24" t="s">
        <v>93</v>
      </c>
      <c r="G37" s="21" t="s">
        <v>66</v>
      </c>
      <c r="H37" s="39">
        <v>34</v>
      </c>
      <c r="I37" s="8"/>
      <c r="J37" s="56"/>
      <c r="K37" s="56"/>
    </row>
    <row r="38" spans="1:11" s="5" customFormat="1" ht="45" x14ac:dyDescent="0.25">
      <c r="A38" s="38">
        <f t="shared" ref="A38:A40" si="2">A37+1</f>
        <v>17</v>
      </c>
      <c r="B38" s="25" t="s">
        <v>46</v>
      </c>
      <c r="C38" s="16" t="s">
        <v>21</v>
      </c>
      <c r="D38" s="60">
        <f>D36-D45-D50</f>
        <v>10.331999999999999</v>
      </c>
      <c r="E38" s="23" t="s">
        <v>455</v>
      </c>
      <c r="F38" s="24" t="s">
        <v>93</v>
      </c>
      <c r="G38" s="21" t="s">
        <v>66</v>
      </c>
      <c r="H38" s="39">
        <v>34</v>
      </c>
      <c r="I38" s="25"/>
      <c r="J38" s="56"/>
      <c r="K38" s="56"/>
    </row>
    <row r="39" spans="1:11" s="5" customFormat="1" ht="45" x14ac:dyDescent="0.25">
      <c r="A39" s="38">
        <f t="shared" si="2"/>
        <v>18</v>
      </c>
      <c r="B39" s="25" t="s">
        <v>33</v>
      </c>
      <c r="C39" s="16" t="s">
        <v>21</v>
      </c>
      <c r="D39" s="60">
        <f>D38</f>
        <v>10.331999999999999</v>
      </c>
      <c r="E39" s="23" t="s">
        <v>455</v>
      </c>
      <c r="F39" s="24" t="s">
        <v>93</v>
      </c>
      <c r="G39" s="21" t="s">
        <v>66</v>
      </c>
      <c r="H39" s="39">
        <v>34</v>
      </c>
      <c r="I39" s="28"/>
      <c r="J39" s="56"/>
      <c r="K39" s="56"/>
    </row>
    <row r="40" spans="1:11" s="1" customFormat="1" ht="90" x14ac:dyDescent="0.25">
      <c r="A40" s="38">
        <f t="shared" si="2"/>
        <v>19</v>
      </c>
      <c r="B40" s="35" t="s">
        <v>45</v>
      </c>
      <c r="C40" s="26" t="s">
        <v>21</v>
      </c>
      <c r="D40" s="57">
        <f>10.9*5.3*0.4</f>
        <v>23.108000000000004</v>
      </c>
      <c r="E40" s="58" t="s">
        <v>457</v>
      </c>
      <c r="F40" s="24" t="s">
        <v>93</v>
      </c>
      <c r="G40" s="21" t="s">
        <v>66</v>
      </c>
      <c r="H40" s="39">
        <v>34</v>
      </c>
      <c r="I40" s="36" t="s">
        <v>59</v>
      </c>
      <c r="J40" s="27"/>
      <c r="K40" s="27"/>
    </row>
    <row r="41" spans="1:11" s="1" customFormat="1" ht="60" x14ac:dyDescent="0.25">
      <c r="A41" s="19">
        <f>A40+1</f>
        <v>20</v>
      </c>
      <c r="B41" s="35" t="s">
        <v>398</v>
      </c>
      <c r="C41" s="16" t="s">
        <v>6</v>
      </c>
      <c r="D41" s="60">
        <f>(D40-D42)*1.96</f>
        <v>23.512159999999998</v>
      </c>
      <c r="E41" s="22" t="s">
        <v>459</v>
      </c>
      <c r="F41" s="24" t="s">
        <v>93</v>
      </c>
      <c r="G41" s="21" t="s">
        <v>66</v>
      </c>
      <c r="H41" s="39">
        <v>34</v>
      </c>
      <c r="I41" s="8"/>
      <c r="J41" s="8"/>
      <c r="K41" s="8"/>
    </row>
    <row r="42" spans="1:11" s="1" customFormat="1" ht="45" x14ac:dyDescent="0.25">
      <c r="A42" s="19">
        <f t="shared" ref="A42:A43" si="3">A41+1</f>
        <v>21</v>
      </c>
      <c r="B42" s="25" t="s">
        <v>46</v>
      </c>
      <c r="C42" s="16" t="s">
        <v>21</v>
      </c>
      <c r="D42" s="60">
        <f>D40-D55-D60</f>
        <v>11.112000000000005</v>
      </c>
      <c r="E42" s="23" t="s">
        <v>458</v>
      </c>
      <c r="F42" s="24" t="s">
        <v>93</v>
      </c>
      <c r="G42" s="21" t="s">
        <v>66</v>
      </c>
      <c r="H42" s="39">
        <v>34</v>
      </c>
      <c r="I42" s="25"/>
      <c r="J42" s="8"/>
      <c r="K42" s="27"/>
    </row>
    <row r="43" spans="1:11" s="1" customFormat="1" ht="45" x14ac:dyDescent="0.25">
      <c r="A43" s="19">
        <f t="shared" si="3"/>
        <v>22</v>
      </c>
      <c r="B43" s="25" t="s">
        <v>33</v>
      </c>
      <c r="C43" s="16" t="s">
        <v>21</v>
      </c>
      <c r="D43" s="60">
        <f>D42</f>
        <v>11.112000000000005</v>
      </c>
      <c r="E43" s="23" t="s">
        <v>458</v>
      </c>
      <c r="F43" s="24" t="s">
        <v>93</v>
      </c>
      <c r="G43" s="21" t="s">
        <v>66</v>
      </c>
      <c r="H43" s="39">
        <v>34</v>
      </c>
      <c r="I43" s="28"/>
      <c r="J43" s="8"/>
      <c r="K43" s="8"/>
    </row>
    <row r="44" spans="1:11" s="1" customFormat="1" x14ac:dyDescent="0.25">
      <c r="A44" s="99" t="s">
        <v>27</v>
      </c>
      <c r="B44" s="100"/>
      <c r="C44" s="100"/>
      <c r="D44" s="100"/>
      <c r="E44" s="100"/>
      <c r="F44" s="100"/>
      <c r="G44" s="100"/>
      <c r="H44" s="100"/>
      <c r="I44" s="100"/>
      <c r="J44" s="100"/>
      <c r="K44" s="101"/>
    </row>
    <row r="45" spans="1:11" s="1" customFormat="1" ht="45" x14ac:dyDescent="0.25">
      <c r="A45" s="19">
        <f>A43+1</f>
        <v>23</v>
      </c>
      <c r="B45" s="25" t="s">
        <v>40</v>
      </c>
      <c r="C45" s="16" t="s">
        <v>21</v>
      </c>
      <c r="D45" s="60">
        <f>3.5*8.1*0.1</f>
        <v>2.835</v>
      </c>
      <c r="E45" s="22" t="s">
        <v>438</v>
      </c>
      <c r="F45" s="24" t="s">
        <v>93</v>
      </c>
      <c r="G45" s="21" t="s">
        <v>66</v>
      </c>
      <c r="H45" s="39">
        <v>34</v>
      </c>
      <c r="I45" s="56"/>
      <c r="J45" s="56"/>
      <c r="K45" s="56"/>
    </row>
    <row r="46" spans="1:11" s="1" customFormat="1" ht="45" x14ac:dyDescent="0.25">
      <c r="A46" s="19">
        <f>A45+1</f>
        <v>24</v>
      </c>
      <c r="B46" s="25" t="s">
        <v>36</v>
      </c>
      <c r="C46" s="16" t="s">
        <v>21</v>
      </c>
      <c r="D46" s="60">
        <f>D45</f>
        <v>2.835</v>
      </c>
      <c r="E46" s="22" t="s">
        <v>438</v>
      </c>
      <c r="F46" s="24" t="s">
        <v>93</v>
      </c>
      <c r="G46" s="21" t="s">
        <v>66</v>
      </c>
      <c r="H46" s="39">
        <v>34</v>
      </c>
      <c r="I46" s="56"/>
      <c r="J46" s="56"/>
      <c r="K46" s="56"/>
    </row>
    <row r="47" spans="1:11" s="1" customFormat="1" ht="45" x14ac:dyDescent="0.25">
      <c r="A47" s="19">
        <f t="shared" ref="A47:A55" si="4">A46+1</f>
        <v>25</v>
      </c>
      <c r="B47" s="23" t="s">
        <v>28</v>
      </c>
      <c r="C47" s="16" t="s">
        <v>6</v>
      </c>
      <c r="D47" s="61">
        <f>D48+D49</f>
        <v>0.61939270000000002</v>
      </c>
      <c r="E47" s="22" t="s">
        <v>441</v>
      </c>
      <c r="F47" s="24" t="s">
        <v>93</v>
      </c>
      <c r="G47" s="21" t="s">
        <v>66</v>
      </c>
      <c r="H47" s="39">
        <v>34</v>
      </c>
      <c r="I47" s="56"/>
      <c r="J47" s="56"/>
      <c r="K47" s="56"/>
    </row>
    <row r="48" spans="1:11" s="1" customFormat="1" ht="45" x14ac:dyDescent="0.25">
      <c r="A48" s="19">
        <f t="shared" si="4"/>
        <v>26</v>
      </c>
      <c r="B48" s="23" t="s">
        <v>32</v>
      </c>
      <c r="C48" s="16" t="s">
        <v>6</v>
      </c>
      <c r="D48" s="61">
        <f>0.888*(7.85*17*2+3.25*40*2+1.39*100)/1000</f>
        <v>0.59131920000000004</v>
      </c>
      <c r="E48" s="23" t="s">
        <v>439</v>
      </c>
      <c r="F48" s="24" t="s">
        <v>93</v>
      </c>
      <c r="G48" s="21" t="s">
        <v>66</v>
      </c>
      <c r="H48" s="39">
        <v>34</v>
      </c>
      <c r="I48" s="56"/>
      <c r="J48" s="56"/>
      <c r="K48" s="56"/>
    </row>
    <row r="49" spans="1:11" s="1" customFormat="1" ht="45" x14ac:dyDescent="0.25">
      <c r="A49" s="19">
        <f t="shared" si="4"/>
        <v>27</v>
      </c>
      <c r="B49" s="23" t="s">
        <v>37</v>
      </c>
      <c r="C49" s="16" t="s">
        <v>6</v>
      </c>
      <c r="D49" s="61">
        <f>0.617*0.91*50/1000</f>
        <v>2.8073500000000001E-2</v>
      </c>
      <c r="E49" s="22" t="s">
        <v>440</v>
      </c>
      <c r="F49" s="24" t="s">
        <v>93</v>
      </c>
      <c r="G49" s="21" t="s">
        <v>66</v>
      </c>
      <c r="H49" s="39">
        <v>34</v>
      </c>
      <c r="I49" s="56"/>
      <c r="J49" s="56"/>
      <c r="K49" s="56"/>
    </row>
    <row r="50" spans="1:11" s="1" customFormat="1" ht="45" x14ac:dyDescent="0.25">
      <c r="A50" s="19">
        <f t="shared" si="4"/>
        <v>28</v>
      </c>
      <c r="B50" s="25" t="s">
        <v>38</v>
      </c>
      <c r="C50" s="16" t="s">
        <v>21</v>
      </c>
      <c r="D50" s="60">
        <f>7.9*3.3*0.3</f>
        <v>7.8209999999999997</v>
      </c>
      <c r="E50" s="22" t="s">
        <v>442</v>
      </c>
      <c r="F50" s="24" t="s">
        <v>93</v>
      </c>
      <c r="G50" s="21" t="s">
        <v>66</v>
      </c>
      <c r="H50" s="39">
        <v>34</v>
      </c>
      <c r="I50" s="56"/>
      <c r="J50" s="56"/>
      <c r="K50" s="56"/>
    </row>
    <row r="51" spans="1:11" s="1" customFormat="1" ht="45" x14ac:dyDescent="0.25">
      <c r="A51" s="19">
        <f t="shared" si="4"/>
        <v>29</v>
      </c>
      <c r="B51" s="22" t="s">
        <v>41</v>
      </c>
      <c r="C51" s="16" t="s">
        <v>21</v>
      </c>
      <c r="D51" s="60">
        <f>D50</f>
        <v>7.8209999999999997</v>
      </c>
      <c r="E51" s="22" t="s">
        <v>442</v>
      </c>
      <c r="F51" s="24" t="s">
        <v>93</v>
      </c>
      <c r="G51" s="21" t="s">
        <v>66</v>
      </c>
      <c r="H51" s="39">
        <v>34</v>
      </c>
      <c r="I51" s="56"/>
      <c r="J51" s="56"/>
      <c r="K51" s="56"/>
    </row>
    <row r="52" spans="1:11" s="1" customFormat="1" ht="45" x14ac:dyDescent="0.25">
      <c r="A52" s="19">
        <f t="shared" si="4"/>
        <v>30</v>
      </c>
      <c r="B52" s="23" t="s">
        <v>39</v>
      </c>
      <c r="C52" s="16" t="s">
        <v>30</v>
      </c>
      <c r="D52" s="60">
        <f>(7.9+3.3)*2*0.3</f>
        <v>6.72</v>
      </c>
      <c r="E52" s="23" t="s">
        <v>443</v>
      </c>
      <c r="F52" s="24" t="s">
        <v>93</v>
      </c>
      <c r="G52" s="21" t="s">
        <v>66</v>
      </c>
      <c r="H52" s="39">
        <v>34</v>
      </c>
      <c r="I52" s="56"/>
      <c r="J52" s="56"/>
      <c r="K52" s="56"/>
    </row>
    <row r="53" spans="1:11" s="1" customFormat="1" ht="45" x14ac:dyDescent="0.25">
      <c r="A53" s="19">
        <f t="shared" si="4"/>
        <v>31</v>
      </c>
      <c r="B53" s="23" t="s">
        <v>42</v>
      </c>
      <c r="C53" s="16" t="s">
        <v>31</v>
      </c>
      <c r="D53" s="62">
        <f>D52*5</f>
        <v>33.6</v>
      </c>
      <c r="E53" s="22" t="s">
        <v>444</v>
      </c>
      <c r="F53" s="24" t="s">
        <v>93</v>
      </c>
      <c r="G53" s="21" t="s">
        <v>66</v>
      </c>
      <c r="H53" s="39">
        <v>34</v>
      </c>
      <c r="I53" s="56"/>
      <c r="J53" s="56"/>
      <c r="K53" s="56"/>
    </row>
    <row r="54" spans="1:11" s="1" customFormat="1" ht="45" x14ac:dyDescent="0.25">
      <c r="A54" s="19">
        <f t="shared" si="4"/>
        <v>32</v>
      </c>
      <c r="B54" s="23" t="s">
        <v>43</v>
      </c>
      <c r="C54" s="16" t="s">
        <v>31</v>
      </c>
      <c r="D54" s="62">
        <f>D52*0.16</f>
        <v>1.0751999999999999</v>
      </c>
      <c r="E54" s="22" t="s">
        <v>445</v>
      </c>
      <c r="F54" s="24" t="s">
        <v>93</v>
      </c>
      <c r="G54" s="21" t="s">
        <v>66</v>
      </c>
      <c r="H54" s="39">
        <v>34</v>
      </c>
      <c r="I54" s="56"/>
      <c r="J54" s="56"/>
      <c r="K54" s="56"/>
    </row>
    <row r="55" spans="1:11" s="1" customFormat="1" ht="45" x14ac:dyDescent="0.25">
      <c r="A55" s="19">
        <f t="shared" si="4"/>
        <v>33</v>
      </c>
      <c r="B55" s="25" t="s">
        <v>40</v>
      </c>
      <c r="C55" s="16" t="s">
        <v>21</v>
      </c>
      <c r="D55" s="60">
        <f>3.5*9.1*0.1</f>
        <v>3.1850000000000001</v>
      </c>
      <c r="E55" s="22" t="s">
        <v>446</v>
      </c>
      <c r="F55" s="24" t="s">
        <v>93</v>
      </c>
      <c r="G55" s="21" t="s">
        <v>66</v>
      </c>
      <c r="H55" s="39">
        <v>34</v>
      </c>
      <c r="I55" s="28"/>
      <c r="J55" s="8"/>
      <c r="K55" s="25"/>
    </row>
    <row r="56" spans="1:11" s="1" customFormat="1" ht="45" x14ac:dyDescent="0.25">
      <c r="A56" s="19">
        <f>A55+1</f>
        <v>34</v>
      </c>
      <c r="B56" s="25" t="s">
        <v>36</v>
      </c>
      <c r="C56" s="16" t="s">
        <v>21</v>
      </c>
      <c r="D56" s="60">
        <f>D55</f>
        <v>3.1850000000000001</v>
      </c>
      <c r="E56" s="22" t="s">
        <v>446</v>
      </c>
      <c r="F56" s="24" t="s">
        <v>93</v>
      </c>
      <c r="G56" s="21" t="s">
        <v>66</v>
      </c>
      <c r="H56" s="39">
        <v>34</v>
      </c>
      <c r="I56" s="28"/>
      <c r="J56" s="8"/>
      <c r="K56" s="25"/>
    </row>
    <row r="57" spans="1:11" s="1" customFormat="1" ht="45" x14ac:dyDescent="0.25">
      <c r="A57" s="19">
        <f t="shared" ref="A57:A64" si="5">A56+1</f>
        <v>35</v>
      </c>
      <c r="B57" s="23" t="s">
        <v>28</v>
      </c>
      <c r="C57" s="16" t="s">
        <v>6</v>
      </c>
      <c r="D57" s="61">
        <f>D58+D59</f>
        <v>0.69887123999999989</v>
      </c>
      <c r="E57" s="22" t="s">
        <v>449</v>
      </c>
      <c r="F57" s="24" t="s">
        <v>93</v>
      </c>
      <c r="G57" s="21" t="s">
        <v>66</v>
      </c>
      <c r="H57" s="39">
        <v>34</v>
      </c>
      <c r="I57" s="28"/>
      <c r="J57" s="8"/>
      <c r="K57" s="8"/>
    </row>
    <row r="58" spans="1:11" s="1" customFormat="1" ht="45" x14ac:dyDescent="0.25">
      <c r="A58" s="19">
        <f t="shared" si="5"/>
        <v>36</v>
      </c>
      <c r="B58" s="23" t="s">
        <v>32</v>
      </c>
      <c r="C58" s="16" t="s">
        <v>6</v>
      </c>
      <c r="D58" s="61">
        <f>0.888*(8.85*17*2+3.25*45*2+1.39*112)/1000</f>
        <v>0.66518303999999984</v>
      </c>
      <c r="E58" s="23" t="s">
        <v>447</v>
      </c>
      <c r="F58" s="24" t="s">
        <v>93</v>
      </c>
      <c r="G58" s="21" t="s">
        <v>66</v>
      </c>
      <c r="H58" s="39">
        <v>34</v>
      </c>
      <c r="I58" s="28"/>
      <c r="J58" s="8"/>
      <c r="K58" s="25"/>
    </row>
    <row r="59" spans="1:11" ht="45" x14ac:dyDescent="0.25">
      <c r="A59" s="19">
        <f t="shared" si="5"/>
        <v>37</v>
      </c>
      <c r="B59" s="23" t="s">
        <v>37</v>
      </c>
      <c r="C59" s="16" t="s">
        <v>6</v>
      </c>
      <c r="D59" s="61">
        <f>0.617*0.91*60/1000</f>
        <v>3.3688200000000001E-2</v>
      </c>
      <c r="E59" s="22" t="s">
        <v>448</v>
      </c>
      <c r="F59" s="24" t="s">
        <v>93</v>
      </c>
      <c r="G59" s="21" t="s">
        <v>66</v>
      </c>
      <c r="H59" s="39">
        <v>34</v>
      </c>
      <c r="I59" s="20"/>
      <c r="J59" s="8"/>
      <c r="K59" s="25"/>
    </row>
    <row r="60" spans="1:11" ht="45" x14ac:dyDescent="0.25">
      <c r="A60" s="19">
        <f t="shared" si="5"/>
        <v>38</v>
      </c>
      <c r="B60" s="25" t="s">
        <v>38</v>
      </c>
      <c r="C60" s="16" t="s">
        <v>21</v>
      </c>
      <c r="D60" s="60">
        <f>8.9*3.3*0.3</f>
        <v>8.8109999999999999</v>
      </c>
      <c r="E60" s="22" t="s">
        <v>450</v>
      </c>
      <c r="F60" s="24" t="s">
        <v>93</v>
      </c>
      <c r="G60" s="21" t="s">
        <v>66</v>
      </c>
      <c r="H60" s="39">
        <v>34</v>
      </c>
      <c r="I60" s="20"/>
      <c r="J60" s="8"/>
      <c r="K60" s="8"/>
    </row>
    <row r="61" spans="1:11" ht="45" x14ac:dyDescent="0.25">
      <c r="A61" s="19">
        <f t="shared" si="5"/>
        <v>39</v>
      </c>
      <c r="B61" s="22" t="s">
        <v>41</v>
      </c>
      <c r="C61" s="16" t="s">
        <v>21</v>
      </c>
      <c r="D61" s="60">
        <f>D60</f>
        <v>8.8109999999999999</v>
      </c>
      <c r="E61" s="22" t="s">
        <v>450</v>
      </c>
      <c r="F61" s="24" t="s">
        <v>93</v>
      </c>
      <c r="G61" s="21" t="s">
        <v>66</v>
      </c>
      <c r="H61" s="39">
        <v>34</v>
      </c>
      <c r="I61" s="20"/>
      <c r="J61" s="8"/>
      <c r="K61" s="16"/>
    </row>
    <row r="62" spans="1:11" ht="45" x14ac:dyDescent="0.25">
      <c r="A62" s="19">
        <f t="shared" si="5"/>
        <v>40</v>
      </c>
      <c r="B62" s="23" t="s">
        <v>39</v>
      </c>
      <c r="C62" s="16" t="s">
        <v>30</v>
      </c>
      <c r="D62" s="60">
        <f>(8.9+3.3)*2*0.3</f>
        <v>7.3199999999999994</v>
      </c>
      <c r="E62" s="23" t="s">
        <v>451</v>
      </c>
      <c r="F62" s="24" t="s">
        <v>93</v>
      </c>
      <c r="G62" s="21" t="s">
        <v>66</v>
      </c>
      <c r="H62" s="39">
        <v>34</v>
      </c>
      <c r="I62" s="20"/>
      <c r="J62" s="8"/>
      <c r="K62" s="16"/>
    </row>
    <row r="63" spans="1:11" ht="45" x14ac:dyDescent="0.25">
      <c r="A63" s="19">
        <f t="shared" si="5"/>
        <v>41</v>
      </c>
      <c r="B63" s="23" t="s">
        <v>42</v>
      </c>
      <c r="C63" s="16" t="s">
        <v>31</v>
      </c>
      <c r="D63" s="62">
        <f>D62*5</f>
        <v>36.599999999999994</v>
      </c>
      <c r="E63" s="22" t="s">
        <v>452</v>
      </c>
      <c r="F63" s="24" t="s">
        <v>93</v>
      </c>
      <c r="G63" s="21" t="s">
        <v>66</v>
      </c>
      <c r="H63" s="39">
        <v>34</v>
      </c>
      <c r="I63" s="20"/>
      <c r="J63" s="8"/>
      <c r="K63" s="16"/>
    </row>
    <row r="64" spans="1:11" ht="45" x14ac:dyDescent="0.25">
      <c r="A64" s="19">
        <f t="shared" si="5"/>
        <v>42</v>
      </c>
      <c r="B64" s="23" t="s">
        <v>43</v>
      </c>
      <c r="C64" s="16" t="s">
        <v>31</v>
      </c>
      <c r="D64" s="62">
        <f>D62*0.16</f>
        <v>1.1712</v>
      </c>
      <c r="E64" s="22" t="s">
        <v>453</v>
      </c>
      <c r="F64" s="24" t="s">
        <v>93</v>
      </c>
      <c r="G64" s="21" t="s">
        <v>66</v>
      </c>
      <c r="H64" s="39">
        <v>34</v>
      </c>
      <c r="I64" s="20"/>
      <c r="J64" s="8"/>
      <c r="K64" s="16"/>
    </row>
    <row r="65" spans="1:11" x14ac:dyDescent="0.25">
      <c r="A65" s="96" t="s">
        <v>91</v>
      </c>
      <c r="B65" s="97"/>
      <c r="C65" s="97"/>
      <c r="D65" s="97"/>
      <c r="E65" s="97"/>
      <c r="F65" s="97"/>
      <c r="G65" s="97"/>
      <c r="H65" s="97"/>
      <c r="I65" s="97"/>
      <c r="J65" s="97"/>
      <c r="K65" s="98"/>
    </row>
    <row r="66" spans="1:11" x14ac:dyDescent="0.25">
      <c r="A66" s="96" t="s">
        <v>26</v>
      </c>
      <c r="B66" s="97"/>
      <c r="C66" s="97"/>
      <c r="D66" s="97"/>
      <c r="E66" s="97"/>
      <c r="F66" s="97"/>
      <c r="G66" s="97"/>
      <c r="H66" s="97"/>
      <c r="I66" s="97"/>
      <c r="J66" s="97"/>
      <c r="K66" s="98"/>
    </row>
    <row r="67" spans="1:11" ht="90" x14ac:dyDescent="0.25">
      <c r="A67" s="37">
        <f>A64+1</f>
        <v>43</v>
      </c>
      <c r="B67" s="35" t="s">
        <v>45</v>
      </c>
      <c r="C67" s="26" t="s">
        <v>21</v>
      </c>
      <c r="D67" s="33">
        <f>8.4*8.4*0.4</f>
        <v>28.224000000000004</v>
      </c>
      <c r="E67" s="44" t="s">
        <v>80</v>
      </c>
      <c r="F67" s="24" t="s">
        <v>94</v>
      </c>
      <c r="G67" s="21" t="s">
        <v>66</v>
      </c>
      <c r="H67" s="39">
        <v>35</v>
      </c>
      <c r="I67" s="36" t="s">
        <v>59</v>
      </c>
      <c r="J67" s="8"/>
      <c r="K67" s="16"/>
    </row>
    <row r="68" spans="1:11" ht="60" x14ac:dyDescent="0.25">
      <c r="A68" s="30">
        <f>A67+1</f>
        <v>44</v>
      </c>
      <c r="B68" s="35" t="s">
        <v>398</v>
      </c>
      <c r="C68" s="16" t="s">
        <v>6</v>
      </c>
      <c r="D68" s="33">
        <f>(D67-D69)*1.96</f>
        <v>32.622240000000012</v>
      </c>
      <c r="E68" s="44" t="s">
        <v>90</v>
      </c>
      <c r="F68" s="24" t="s">
        <v>94</v>
      </c>
      <c r="G68" s="21" t="s">
        <v>66</v>
      </c>
      <c r="H68" s="39">
        <v>35</v>
      </c>
      <c r="I68" s="8"/>
      <c r="J68" s="8"/>
      <c r="K68" s="16"/>
    </row>
    <row r="69" spans="1:11" ht="45" x14ac:dyDescent="0.25">
      <c r="A69" s="30">
        <f t="shared" ref="A69:A70" si="6">A68+1</f>
        <v>45</v>
      </c>
      <c r="B69" s="25" t="s">
        <v>46</v>
      </c>
      <c r="C69" s="16" t="s">
        <v>21</v>
      </c>
      <c r="D69" s="33">
        <f>D67-D72-D77</f>
        <v>11.58</v>
      </c>
      <c r="E69" s="44" t="s">
        <v>89</v>
      </c>
      <c r="F69" s="24" t="s">
        <v>94</v>
      </c>
      <c r="G69" s="21" t="s">
        <v>66</v>
      </c>
      <c r="H69" s="39">
        <v>35</v>
      </c>
      <c r="I69" s="32"/>
      <c r="J69" s="8"/>
      <c r="K69" s="16"/>
    </row>
    <row r="70" spans="1:11" ht="45" x14ac:dyDescent="0.25">
      <c r="A70" s="30">
        <f t="shared" si="6"/>
        <v>46</v>
      </c>
      <c r="B70" s="25" t="s">
        <v>33</v>
      </c>
      <c r="C70" s="16" t="s">
        <v>21</v>
      </c>
      <c r="D70" s="33">
        <f>D69</f>
        <v>11.58</v>
      </c>
      <c r="E70" s="44" t="s">
        <v>89</v>
      </c>
      <c r="F70" s="24" t="s">
        <v>94</v>
      </c>
      <c r="G70" s="21" t="s">
        <v>66</v>
      </c>
      <c r="H70" s="39">
        <v>35</v>
      </c>
      <c r="I70" s="32"/>
      <c r="J70" s="8"/>
      <c r="K70" s="16"/>
    </row>
    <row r="71" spans="1:11" x14ac:dyDescent="0.25">
      <c r="A71" s="96" t="s">
        <v>27</v>
      </c>
      <c r="B71" s="97"/>
      <c r="C71" s="97"/>
      <c r="D71" s="97"/>
      <c r="E71" s="97"/>
      <c r="F71" s="97"/>
      <c r="G71" s="97"/>
      <c r="H71" s="97"/>
      <c r="I71" s="97"/>
      <c r="J71" s="97"/>
      <c r="K71" s="98"/>
    </row>
    <row r="72" spans="1:11" ht="45" x14ac:dyDescent="0.25">
      <c r="A72" s="30">
        <f>A70+1</f>
        <v>47</v>
      </c>
      <c r="B72" s="25" t="s">
        <v>40</v>
      </c>
      <c r="C72" s="16" t="s">
        <v>21</v>
      </c>
      <c r="D72" s="33">
        <f>6.6*6.6*0.1</f>
        <v>4.3559999999999999</v>
      </c>
      <c r="E72" s="44" t="s">
        <v>81</v>
      </c>
      <c r="F72" s="24" t="s">
        <v>94</v>
      </c>
      <c r="G72" s="21" t="s">
        <v>66</v>
      </c>
      <c r="H72" s="39">
        <v>35</v>
      </c>
      <c r="I72" s="32"/>
      <c r="J72" s="8"/>
      <c r="K72" s="16"/>
    </row>
    <row r="73" spans="1:11" ht="45" x14ac:dyDescent="0.25">
      <c r="A73" s="30">
        <f>A72+1</f>
        <v>48</v>
      </c>
      <c r="B73" s="25" t="s">
        <v>36</v>
      </c>
      <c r="C73" s="16" t="s">
        <v>21</v>
      </c>
      <c r="D73" s="33">
        <f>D72</f>
        <v>4.3559999999999999</v>
      </c>
      <c r="E73" s="44" t="s">
        <v>81</v>
      </c>
      <c r="F73" s="24" t="s">
        <v>94</v>
      </c>
      <c r="G73" s="21" t="s">
        <v>66</v>
      </c>
      <c r="H73" s="39">
        <v>35</v>
      </c>
      <c r="I73" s="32"/>
      <c r="J73" s="8"/>
      <c r="K73" s="16"/>
    </row>
    <row r="74" spans="1:11" ht="45" x14ac:dyDescent="0.25">
      <c r="A74" s="30">
        <f t="shared" ref="A74:A81" si="7">A73+1</f>
        <v>49</v>
      </c>
      <c r="B74" s="23" t="s">
        <v>28</v>
      </c>
      <c r="C74" s="16" t="s">
        <v>6</v>
      </c>
      <c r="D74" s="41">
        <f>D75+D76</f>
        <v>0.93791906999999985</v>
      </c>
      <c r="E74" s="44" t="s">
        <v>84</v>
      </c>
      <c r="F74" s="24" t="s">
        <v>94</v>
      </c>
      <c r="G74" s="21" t="s">
        <v>66</v>
      </c>
      <c r="H74" s="39">
        <v>35</v>
      </c>
      <c r="I74" s="32"/>
      <c r="J74" s="8"/>
      <c r="K74" s="16"/>
    </row>
    <row r="75" spans="1:11" ht="45" x14ac:dyDescent="0.25">
      <c r="A75" s="30">
        <f t="shared" si="7"/>
        <v>50</v>
      </c>
      <c r="B75" s="23" t="s">
        <v>32</v>
      </c>
      <c r="C75" s="16" t="s">
        <v>6</v>
      </c>
      <c r="D75" s="41">
        <f>0.888*(6.35*33*2*2+1.39*120)/1000</f>
        <v>0.8924399999999999</v>
      </c>
      <c r="E75" s="63" t="s">
        <v>82</v>
      </c>
      <c r="F75" s="24" t="s">
        <v>94</v>
      </c>
      <c r="G75" s="21" t="s">
        <v>66</v>
      </c>
      <c r="H75" s="39">
        <v>35</v>
      </c>
      <c r="I75" s="32"/>
      <c r="J75" s="8"/>
      <c r="K75" s="16"/>
    </row>
    <row r="76" spans="1:11" ht="45" x14ac:dyDescent="0.25">
      <c r="A76" s="30">
        <f t="shared" si="7"/>
        <v>51</v>
      </c>
      <c r="B76" s="23" t="s">
        <v>37</v>
      </c>
      <c r="C76" s="16" t="s">
        <v>6</v>
      </c>
      <c r="D76" s="41">
        <f>0.617*0.91*81/1000</f>
        <v>4.5479070000000003E-2</v>
      </c>
      <c r="E76" s="44" t="s">
        <v>83</v>
      </c>
      <c r="F76" s="24" t="s">
        <v>94</v>
      </c>
      <c r="G76" s="21" t="s">
        <v>66</v>
      </c>
      <c r="H76" s="39">
        <v>35</v>
      </c>
      <c r="I76" s="32"/>
      <c r="J76" s="8"/>
      <c r="K76" s="16"/>
    </row>
    <row r="77" spans="1:11" ht="45" x14ac:dyDescent="0.25">
      <c r="A77" s="30">
        <f t="shared" si="7"/>
        <v>52</v>
      </c>
      <c r="B77" s="25" t="s">
        <v>38</v>
      </c>
      <c r="C77" s="16" t="s">
        <v>21</v>
      </c>
      <c r="D77" s="33">
        <f>6.4*6.4*0.3</f>
        <v>12.288000000000002</v>
      </c>
      <c r="E77" s="44" t="s">
        <v>85</v>
      </c>
      <c r="F77" s="24" t="s">
        <v>94</v>
      </c>
      <c r="G77" s="21" t="s">
        <v>66</v>
      </c>
      <c r="H77" s="39">
        <v>35</v>
      </c>
      <c r="I77" s="32"/>
      <c r="J77" s="8"/>
      <c r="K77" s="16"/>
    </row>
    <row r="78" spans="1:11" ht="45" x14ac:dyDescent="0.25">
      <c r="A78" s="30">
        <f t="shared" si="7"/>
        <v>53</v>
      </c>
      <c r="B78" s="22" t="s">
        <v>41</v>
      </c>
      <c r="C78" s="16" t="s">
        <v>21</v>
      </c>
      <c r="D78" s="33">
        <f>D77</f>
        <v>12.288000000000002</v>
      </c>
      <c r="E78" s="44" t="s">
        <v>85</v>
      </c>
      <c r="F78" s="24" t="s">
        <v>94</v>
      </c>
      <c r="G78" s="21" t="s">
        <v>66</v>
      </c>
      <c r="H78" s="39">
        <v>35</v>
      </c>
      <c r="I78" s="32"/>
      <c r="J78" s="8"/>
      <c r="K78" s="16"/>
    </row>
    <row r="79" spans="1:11" ht="45" x14ac:dyDescent="0.25">
      <c r="A79" s="30">
        <f t="shared" si="7"/>
        <v>54</v>
      </c>
      <c r="B79" s="23" t="s">
        <v>39</v>
      </c>
      <c r="C79" s="16" t="s">
        <v>30</v>
      </c>
      <c r="D79" s="33">
        <f>(6.4+6.4)*2*0.3</f>
        <v>7.68</v>
      </c>
      <c r="E79" s="44" t="s">
        <v>86</v>
      </c>
      <c r="F79" s="24" t="s">
        <v>94</v>
      </c>
      <c r="G79" s="21" t="s">
        <v>66</v>
      </c>
      <c r="H79" s="39">
        <v>35</v>
      </c>
      <c r="I79" s="32"/>
      <c r="J79" s="8"/>
      <c r="K79" s="16"/>
    </row>
    <row r="80" spans="1:11" ht="45" x14ac:dyDescent="0.25">
      <c r="A80" s="30">
        <f t="shared" si="7"/>
        <v>55</v>
      </c>
      <c r="B80" s="23" t="s">
        <v>42</v>
      </c>
      <c r="C80" s="16" t="s">
        <v>31</v>
      </c>
      <c r="D80" s="33">
        <f>D79*5</f>
        <v>38.4</v>
      </c>
      <c r="E80" s="44" t="s">
        <v>87</v>
      </c>
      <c r="F80" s="24" t="s">
        <v>94</v>
      </c>
      <c r="G80" s="21" t="s">
        <v>66</v>
      </c>
      <c r="H80" s="39">
        <v>35</v>
      </c>
      <c r="I80" s="32"/>
      <c r="J80" s="8"/>
      <c r="K80" s="16"/>
    </row>
    <row r="81" spans="1:11" ht="45" x14ac:dyDescent="0.25">
      <c r="A81" s="30">
        <f t="shared" si="7"/>
        <v>56</v>
      </c>
      <c r="B81" s="23" t="s">
        <v>43</v>
      </c>
      <c r="C81" s="16" t="s">
        <v>31</v>
      </c>
      <c r="D81" s="33">
        <f>D79*0.16</f>
        <v>1.2287999999999999</v>
      </c>
      <c r="E81" s="44" t="s">
        <v>88</v>
      </c>
      <c r="F81" s="24" t="s">
        <v>94</v>
      </c>
      <c r="G81" s="21" t="s">
        <v>66</v>
      </c>
      <c r="H81" s="39">
        <v>35</v>
      </c>
      <c r="I81" s="32"/>
      <c r="J81" s="8"/>
      <c r="K81" s="16"/>
    </row>
    <row r="82" spans="1:11" x14ac:dyDescent="0.25">
      <c r="A82" s="96" t="s">
        <v>62</v>
      </c>
      <c r="B82" s="97"/>
      <c r="C82" s="97"/>
      <c r="D82" s="97"/>
      <c r="E82" s="97"/>
      <c r="F82" s="97"/>
      <c r="G82" s="97"/>
      <c r="H82" s="97"/>
      <c r="I82" s="97"/>
      <c r="J82" s="97"/>
      <c r="K82" s="98"/>
    </row>
    <row r="83" spans="1:11" x14ac:dyDescent="0.25">
      <c r="A83" s="95" t="s">
        <v>26</v>
      </c>
      <c r="B83" s="95"/>
      <c r="C83" s="95"/>
      <c r="D83" s="95"/>
      <c r="E83" s="95"/>
      <c r="F83" s="95"/>
      <c r="G83" s="95"/>
      <c r="H83" s="95"/>
      <c r="I83" s="95"/>
      <c r="J83" s="95"/>
      <c r="K83" s="95"/>
    </row>
    <row r="84" spans="1:11" ht="90" x14ac:dyDescent="0.25">
      <c r="A84" s="30">
        <f>A81+1</f>
        <v>57</v>
      </c>
      <c r="B84" s="35" t="s">
        <v>45</v>
      </c>
      <c r="C84" s="26" t="s">
        <v>21</v>
      </c>
      <c r="D84" s="33">
        <f>20.4*11.4*0.5</f>
        <v>116.28</v>
      </c>
      <c r="E84" s="43" t="s">
        <v>63</v>
      </c>
      <c r="F84" s="24" t="s">
        <v>95</v>
      </c>
      <c r="G84" s="21" t="s">
        <v>66</v>
      </c>
      <c r="H84" s="39">
        <v>36</v>
      </c>
      <c r="I84" s="36" t="s">
        <v>59</v>
      </c>
      <c r="J84" s="8"/>
      <c r="K84" s="16"/>
    </row>
    <row r="85" spans="1:11" ht="60" x14ac:dyDescent="0.25">
      <c r="A85" s="34">
        <f>A84+1</f>
        <v>58</v>
      </c>
      <c r="B85" s="35" t="s">
        <v>398</v>
      </c>
      <c r="C85" s="16" t="s">
        <v>6</v>
      </c>
      <c r="D85" s="33">
        <f>(D84-D86)*1.96</f>
        <v>170.59839999999997</v>
      </c>
      <c r="E85" s="43" t="s">
        <v>65</v>
      </c>
      <c r="F85" s="24" t="s">
        <v>95</v>
      </c>
      <c r="G85" s="21" t="s">
        <v>66</v>
      </c>
      <c r="H85" s="39">
        <v>36</v>
      </c>
      <c r="I85" s="8"/>
      <c r="J85" s="8"/>
      <c r="K85" s="16"/>
    </row>
    <row r="86" spans="1:11" ht="45" x14ac:dyDescent="0.25">
      <c r="A86" s="34">
        <f t="shared" ref="A86:A87" si="8">A85+1</f>
        <v>59</v>
      </c>
      <c r="B86" s="25" t="s">
        <v>46</v>
      </c>
      <c r="C86" s="16" t="s">
        <v>21</v>
      </c>
      <c r="D86" s="33">
        <f>D84-D89-D94</f>
        <v>29.240000000000009</v>
      </c>
      <c r="E86" s="43" t="s">
        <v>64</v>
      </c>
      <c r="F86" s="24" t="s">
        <v>95</v>
      </c>
      <c r="G86" s="21" t="s">
        <v>66</v>
      </c>
      <c r="H86" s="39">
        <v>36</v>
      </c>
      <c r="I86" s="32"/>
      <c r="J86" s="8"/>
      <c r="K86" s="16"/>
    </row>
    <row r="87" spans="1:11" ht="45" x14ac:dyDescent="0.25">
      <c r="A87" s="34">
        <f t="shared" si="8"/>
        <v>60</v>
      </c>
      <c r="B87" s="25" t="s">
        <v>33</v>
      </c>
      <c r="C87" s="16" t="s">
        <v>21</v>
      </c>
      <c r="D87" s="33">
        <f>D86</f>
        <v>29.240000000000009</v>
      </c>
      <c r="E87" s="43" t="s">
        <v>64</v>
      </c>
      <c r="F87" s="24" t="s">
        <v>95</v>
      </c>
      <c r="G87" s="21" t="s">
        <v>66</v>
      </c>
      <c r="H87" s="39">
        <v>36</v>
      </c>
      <c r="I87" s="32"/>
      <c r="J87" s="8"/>
      <c r="K87" s="16"/>
    </row>
    <row r="88" spans="1:11" x14ac:dyDescent="0.25">
      <c r="A88" s="95" t="s">
        <v>27</v>
      </c>
      <c r="B88" s="95"/>
      <c r="C88" s="95"/>
      <c r="D88" s="95"/>
      <c r="E88" s="95"/>
      <c r="F88" s="95"/>
      <c r="G88" s="95"/>
      <c r="H88" s="95"/>
      <c r="I88" s="95"/>
      <c r="J88" s="95"/>
      <c r="K88" s="95"/>
    </row>
    <row r="89" spans="1:11" ht="45" x14ac:dyDescent="0.25">
      <c r="A89" s="34">
        <f>A87+1</f>
        <v>61</v>
      </c>
      <c r="B89" s="25" t="s">
        <v>40</v>
      </c>
      <c r="C89" s="16" t="s">
        <v>21</v>
      </c>
      <c r="D89" s="33">
        <f>18.6*9.6*0.1</f>
        <v>17.856000000000002</v>
      </c>
      <c r="E89" s="40" t="s">
        <v>47</v>
      </c>
      <c r="F89" s="24" t="s">
        <v>95</v>
      </c>
      <c r="G89" s="21" t="s">
        <v>66</v>
      </c>
      <c r="H89" s="39">
        <v>36</v>
      </c>
      <c r="I89" s="32"/>
      <c r="J89" s="8"/>
      <c r="K89" s="16"/>
    </row>
    <row r="90" spans="1:11" ht="45" x14ac:dyDescent="0.25">
      <c r="A90" s="34">
        <f>A89+1</f>
        <v>62</v>
      </c>
      <c r="B90" s="25" t="s">
        <v>36</v>
      </c>
      <c r="C90" s="16" t="s">
        <v>21</v>
      </c>
      <c r="D90" s="33">
        <f>D89</f>
        <v>17.856000000000002</v>
      </c>
      <c r="E90" s="40" t="s">
        <v>47</v>
      </c>
      <c r="F90" s="24" t="s">
        <v>95</v>
      </c>
      <c r="G90" s="21" t="s">
        <v>66</v>
      </c>
      <c r="H90" s="39">
        <v>36</v>
      </c>
      <c r="I90" s="32"/>
      <c r="J90" s="8"/>
      <c r="K90" s="16"/>
    </row>
    <row r="91" spans="1:11" ht="45" x14ac:dyDescent="0.25">
      <c r="A91" s="34">
        <f t="shared" ref="A91:A98" si="9">A90+1</f>
        <v>63</v>
      </c>
      <c r="B91" s="23" t="s">
        <v>28</v>
      </c>
      <c r="C91" s="16" t="s">
        <v>6</v>
      </c>
      <c r="D91" s="41">
        <f>D92+D93</f>
        <v>3.7932163199999991</v>
      </c>
      <c r="E91" s="42" t="s">
        <v>58</v>
      </c>
      <c r="F91" s="24" t="s">
        <v>95</v>
      </c>
      <c r="G91" s="21" t="s">
        <v>66</v>
      </c>
      <c r="H91" s="39">
        <v>36</v>
      </c>
      <c r="I91" s="32"/>
      <c r="J91" s="8"/>
      <c r="K91" s="16"/>
    </row>
    <row r="92" spans="1:11" ht="45" x14ac:dyDescent="0.25">
      <c r="A92" s="34">
        <f t="shared" si="9"/>
        <v>64</v>
      </c>
      <c r="B92" s="23" t="s">
        <v>32</v>
      </c>
      <c r="C92" s="16" t="s">
        <v>6</v>
      </c>
      <c r="D92" s="41">
        <f>0.888*(18.83*48*2+9.35*93*2+1.89*266)/1000</f>
        <v>3.5959737599999992</v>
      </c>
      <c r="E92" s="55" t="s">
        <v>53</v>
      </c>
      <c r="F92" s="24" t="s">
        <v>95</v>
      </c>
      <c r="G92" s="21" t="s">
        <v>66</v>
      </c>
      <c r="H92" s="39">
        <v>36</v>
      </c>
      <c r="I92" s="32"/>
      <c r="J92" s="8"/>
      <c r="K92" s="16"/>
    </row>
    <row r="93" spans="1:11" ht="45" x14ac:dyDescent="0.25">
      <c r="A93" s="34">
        <f t="shared" si="9"/>
        <v>65</v>
      </c>
      <c r="B93" s="23" t="s">
        <v>37</v>
      </c>
      <c r="C93" s="16" t="s">
        <v>6</v>
      </c>
      <c r="D93" s="41">
        <f>0.617*1.11*288/1000</f>
        <v>0.19724256000000004</v>
      </c>
      <c r="E93" s="42" t="s">
        <v>57</v>
      </c>
      <c r="F93" s="24" t="s">
        <v>95</v>
      </c>
      <c r="G93" s="21" t="s">
        <v>66</v>
      </c>
      <c r="H93" s="39">
        <v>36</v>
      </c>
      <c r="I93" s="32"/>
      <c r="J93" s="8"/>
      <c r="K93" s="16"/>
    </row>
    <row r="94" spans="1:11" ht="45" x14ac:dyDescent="0.25">
      <c r="A94" s="34">
        <f t="shared" si="9"/>
        <v>66</v>
      </c>
      <c r="B94" s="25" t="s">
        <v>48</v>
      </c>
      <c r="C94" s="16" t="s">
        <v>21</v>
      </c>
      <c r="D94" s="33">
        <f>18.4*9.4*0.4</f>
        <v>69.183999999999997</v>
      </c>
      <c r="E94" s="40" t="s">
        <v>49</v>
      </c>
      <c r="F94" s="24" t="s">
        <v>95</v>
      </c>
      <c r="G94" s="21" t="s">
        <v>66</v>
      </c>
      <c r="H94" s="39">
        <v>36</v>
      </c>
      <c r="I94" s="32"/>
      <c r="J94" s="8"/>
      <c r="K94" s="16"/>
    </row>
    <row r="95" spans="1:11" ht="45" x14ac:dyDescent="0.25">
      <c r="A95" s="34">
        <f t="shared" si="9"/>
        <v>67</v>
      </c>
      <c r="B95" s="22" t="s">
        <v>41</v>
      </c>
      <c r="C95" s="16" t="s">
        <v>21</v>
      </c>
      <c r="D95" s="33">
        <f>D94</f>
        <v>69.183999999999997</v>
      </c>
      <c r="E95" s="40" t="s">
        <v>49</v>
      </c>
      <c r="F95" s="24" t="s">
        <v>95</v>
      </c>
      <c r="G95" s="21" t="s">
        <v>66</v>
      </c>
      <c r="H95" s="39">
        <v>36</v>
      </c>
      <c r="I95" s="32"/>
      <c r="J95" s="8"/>
      <c r="K95" s="16"/>
    </row>
    <row r="96" spans="1:11" ht="45" x14ac:dyDescent="0.25">
      <c r="A96" s="34">
        <f t="shared" si="9"/>
        <v>68</v>
      </c>
      <c r="B96" s="23" t="s">
        <v>39</v>
      </c>
      <c r="C96" s="16" t="s">
        <v>30</v>
      </c>
      <c r="D96" s="33">
        <f>(18.4+9.4)*2*0.4</f>
        <v>22.24</v>
      </c>
      <c r="E96" s="40" t="s">
        <v>50</v>
      </c>
      <c r="F96" s="24" t="s">
        <v>95</v>
      </c>
      <c r="G96" s="21" t="s">
        <v>66</v>
      </c>
      <c r="H96" s="39">
        <v>36</v>
      </c>
      <c r="I96" s="32"/>
      <c r="J96" s="8"/>
      <c r="K96" s="16"/>
    </row>
    <row r="97" spans="1:11" ht="45" x14ac:dyDescent="0.25">
      <c r="A97" s="34">
        <f t="shared" si="9"/>
        <v>69</v>
      </c>
      <c r="B97" s="23" t="s">
        <v>42</v>
      </c>
      <c r="C97" s="16" t="s">
        <v>31</v>
      </c>
      <c r="D97" s="31">
        <f>D96*5</f>
        <v>111.19999999999999</v>
      </c>
      <c r="E97" s="40" t="s">
        <v>51</v>
      </c>
      <c r="F97" s="24" t="s">
        <v>95</v>
      </c>
      <c r="G97" s="21" t="s">
        <v>66</v>
      </c>
      <c r="H97" s="39">
        <v>36</v>
      </c>
      <c r="I97" s="32"/>
      <c r="J97" s="8"/>
      <c r="K97" s="16"/>
    </row>
    <row r="98" spans="1:11" ht="45" x14ac:dyDescent="0.25">
      <c r="A98" s="34">
        <f t="shared" si="9"/>
        <v>70</v>
      </c>
      <c r="B98" s="23" t="s">
        <v>43</v>
      </c>
      <c r="C98" s="16" t="s">
        <v>31</v>
      </c>
      <c r="D98" s="33">
        <f>D96*0.16</f>
        <v>3.5583999999999998</v>
      </c>
      <c r="E98" s="40" t="s">
        <v>52</v>
      </c>
      <c r="F98" s="24" t="s">
        <v>95</v>
      </c>
      <c r="G98" s="21" t="s">
        <v>66</v>
      </c>
      <c r="H98" s="39">
        <v>36</v>
      </c>
      <c r="I98" s="32"/>
      <c r="J98" s="8"/>
      <c r="K98" s="16"/>
    </row>
    <row r="99" spans="1:11" x14ac:dyDescent="0.25">
      <c r="A99" s="99" t="s">
        <v>67</v>
      </c>
      <c r="B99" s="100"/>
      <c r="C99" s="100"/>
      <c r="D99" s="100"/>
      <c r="E99" s="100"/>
      <c r="F99" s="100"/>
      <c r="G99" s="100"/>
      <c r="H99" s="100"/>
      <c r="I99" s="100"/>
      <c r="J99" s="100"/>
      <c r="K99" s="101"/>
    </row>
    <row r="100" spans="1:11" x14ac:dyDescent="0.25">
      <c r="A100" s="99" t="s">
        <v>26</v>
      </c>
      <c r="B100" s="100"/>
      <c r="C100" s="100"/>
      <c r="D100" s="100"/>
      <c r="E100" s="100"/>
      <c r="F100" s="100"/>
      <c r="G100" s="100"/>
      <c r="H100" s="100"/>
      <c r="I100" s="100"/>
      <c r="J100" s="100"/>
      <c r="K100" s="101"/>
    </row>
    <row r="101" spans="1:11" ht="90" x14ac:dyDescent="0.25">
      <c r="A101" s="38">
        <f>A98+1</f>
        <v>71</v>
      </c>
      <c r="B101" s="35" t="s">
        <v>45</v>
      </c>
      <c r="C101" s="26" t="s">
        <v>21</v>
      </c>
      <c r="D101" s="57">
        <f>8.7*25.5*0.5</f>
        <v>110.925</v>
      </c>
      <c r="E101" s="58" t="s">
        <v>471</v>
      </c>
      <c r="F101" s="24" t="s">
        <v>96</v>
      </c>
      <c r="G101" s="21" t="s">
        <v>66</v>
      </c>
      <c r="H101" s="39">
        <v>37</v>
      </c>
      <c r="I101" s="36" t="s">
        <v>59</v>
      </c>
      <c r="J101" s="27"/>
      <c r="K101" s="27"/>
    </row>
    <row r="102" spans="1:11" ht="60" x14ac:dyDescent="0.25">
      <c r="A102" s="19">
        <f>A101+1</f>
        <v>72</v>
      </c>
      <c r="B102" s="35" t="s">
        <v>398</v>
      </c>
      <c r="C102" s="16" t="s">
        <v>6</v>
      </c>
      <c r="D102" s="60">
        <f>(D101-D103)*1.96</f>
        <v>155.49268000000001</v>
      </c>
      <c r="E102" s="22" t="s">
        <v>472</v>
      </c>
      <c r="F102" s="24" t="s">
        <v>96</v>
      </c>
      <c r="G102" s="21" t="s">
        <v>66</v>
      </c>
      <c r="H102" s="39">
        <v>37</v>
      </c>
      <c r="I102" s="8"/>
      <c r="J102" s="8"/>
      <c r="K102" s="8"/>
    </row>
    <row r="103" spans="1:11" ht="45" x14ac:dyDescent="0.25">
      <c r="A103" s="19">
        <f t="shared" ref="A103:A104" si="10">A102+1</f>
        <v>73</v>
      </c>
      <c r="B103" s="25" t="s">
        <v>46</v>
      </c>
      <c r="C103" s="16" t="s">
        <v>21</v>
      </c>
      <c r="D103" s="60">
        <f>D101-D106-D111</f>
        <v>31.591999999999992</v>
      </c>
      <c r="E103" s="23" t="s">
        <v>473</v>
      </c>
      <c r="F103" s="24" t="s">
        <v>96</v>
      </c>
      <c r="G103" s="21" t="s">
        <v>66</v>
      </c>
      <c r="H103" s="39">
        <v>37</v>
      </c>
      <c r="I103" s="25"/>
      <c r="J103" s="8"/>
      <c r="K103" s="27"/>
    </row>
    <row r="104" spans="1:11" ht="45" x14ac:dyDescent="0.25">
      <c r="A104" s="19">
        <f t="shared" si="10"/>
        <v>74</v>
      </c>
      <c r="B104" s="25" t="s">
        <v>33</v>
      </c>
      <c r="C104" s="16" t="s">
        <v>21</v>
      </c>
      <c r="D104" s="60">
        <f>D103</f>
        <v>31.591999999999992</v>
      </c>
      <c r="E104" s="23" t="s">
        <v>473</v>
      </c>
      <c r="F104" s="24" t="s">
        <v>96</v>
      </c>
      <c r="G104" s="21" t="s">
        <v>66</v>
      </c>
      <c r="H104" s="39">
        <v>37</v>
      </c>
      <c r="I104" s="28"/>
      <c r="J104" s="8"/>
      <c r="K104" s="8"/>
    </row>
    <row r="105" spans="1:11" x14ac:dyDescent="0.25">
      <c r="A105" s="99" t="s">
        <v>27</v>
      </c>
      <c r="B105" s="100"/>
      <c r="C105" s="100"/>
      <c r="D105" s="100"/>
      <c r="E105" s="100"/>
      <c r="F105" s="100"/>
      <c r="G105" s="100"/>
      <c r="H105" s="100"/>
      <c r="I105" s="100"/>
      <c r="J105" s="100"/>
      <c r="K105" s="101"/>
    </row>
    <row r="106" spans="1:11" ht="45" x14ac:dyDescent="0.25">
      <c r="A106" s="19">
        <f>A104+1</f>
        <v>75</v>
      </c>
      <c r="B106" s="25" t="s">
        <v>40</v>
      </c>
      <c r="C106" s="16" t="s">
        <v>21</v>
      </c>
      <c r="D106" s="60">
        <f>6.9*23.7*0.1</f>
        <v>16.353000000000002</v>
      </c>
      <c r="E106" s="22" t="s">
        <v>474</v>
      </c>
      <c r="F106" s="24" t="s">
        <v>96</v>
      </c>
      <c r="G106" s="21" t="s">
        <v>66</v>
      </c>
      <c r="H106" s="39">
        <v>37</v>
      </c>
      <c r="I106" s="28"/>
      <c r="J106" s="8"/>
      <c r="K106" s="25"/>
    </row>
    <row r="107" spans="1:11" ht="45" x14ac:dyDescent="0.25">
      <c r="A107" s="19">
        <f>A106+1</f>
        <v>76</v>
      </c>
      <c r="B107" s="25" t="s">
        <v>36</v>
      </c>
      <c r="C107" s="16" t="s">
        <v>21</v>
      </c>
      <c r="D107" s="60">
        <f>D106</f>
        <v>16.353000000000002</v>
      </c>
      <c r="E107" s="22" t="s">
        <v>474</v>
      </c>
      <c r="F107" s="24" t="s">
        <v>96</v>
      </c>
      <c r="G107" s="21" t="s">
        <v>66</v>
      </c>
      <c r="H107" s="39">
        <v>37</v>
      </c>
      <c r="I107" s="28"/>
      <c r="J107" s="8"/>
      <c r="K107" s="25"/>
    </row>
    <row r="108" spans="1:11" ht="45" x14ac:dyDescent="0.25">
      <c r="A108" s="19">
        <f t="shared" ref="A108:A115" si="11">A107+1</f>
        <v>77</v>
      </c>
      <c r="B108" s="23" t="s">
        <v>28</v>
      </c>
      <c r="C108" s="16" t="s">
        <v>6</v>
      </c>
      <c r="D108" s="61">
        <f>D109+D110</f>
        <v>3.5068873799999998</v>
      </c>
      <c r="E108" s="22" t="s">
        <v>475</v>
      </c>
      <c r="F108" s="24" t="s">
        <v>96</v>
      </c>
      <c r="G108" s="21" t="s">
        <v>66</v>
      </c>
      <c r="H108" s="39">
        <v>37</v>
      </c>
      <c r="I108" s="28"/>
      <c r="J108" s="8"/>
      <c r="K108" s="8"/>
    </row>
    <row r="109" spans="1:11" ht="45" x14ac:dyDescent="0.25">
      <c r="A109" s="19">
        <f t="shared" si="11"/>
        <v>78</v>
      </c>
      <c r="B109" s="23" t="s">
        <v>32</v>
      </c>
      <c r="C109" s="16" t="s">
        <v>6</v>
      </c>
      <c r="D109" s="61">
        <f>0.888*(6.65*118*2+23.93*34*2+1.89*288)/1000</f>
        <v>3.3219724799999999</v>
      </c>
      <c r="E109" s="23" t="s">
        <v>476</v>
      </c>
      <c r="F109" s="24" t="s">
        <v>96</v>
      </c>
      <c r="G109" s="21" t="s">
        <v>66</v>
      </c>
      <c r="H109" s="39">
        <v>37</v>
      </c>
      <c r="I109" s="28"/>
      <c r="J109" s="8"/>
      <c r="K109" s="25"/>
    </row>
    <row r="110" spans="1:11" ht="45" x14ac:dyDescent="0.25">
      <c r="A110" s="19">
        <f t="shared" si="11"/>
        <v>79</v>
      </c>
      <c r="B110" s="23" t="s">
        <v>37</v>
      </c>
      <c r="C110" s="16" t="s">
        <v>6</v>
      </c>
      <c r="D110" s="61">
        <f>0.617*1.11*270/1000</f>
        <v>0.18491490000000002</v>
      </c>
      <c r="E110" s="22" t="s">
        <v>477</v>
      </c>
      <c r="F110" s="24" t="s">
        <v>96</v>
      </c>
      <c r="G110" s="21" t="s">
        <v>66</v>
      </c>
      <c r="H110" s="39">
        <v>37</v>
      </c>
      <c r="I110" s="20"/>
      <c r="J110" s="8"/>
      <c r="K110" s="25"/>
    </row>
    <row r="111" spans="1:11" ht="45" x14ac:dyDescent="0.25">
      <c r="A111" s="19">
        <f t="shared" si="11"/>
        <v>80</v>
      </c>
      <c r="B111" s="25" t="s">
        <v>48</v>
      </c>
      <c r="C111" s="16" t="s">
        <v>21</v>
      </c>
      <c r="D111" s="60">
        <f>6.7*23.5*0.4</f>
        <v>62.980000000000011</v>
      </c>
      <c r="E111" s="22" t="s">
        <v>478</v>
      </c>
      <c r="F111" s="24" t="s">
        <v>96</v>
      </c>
      <c r="G111" s="21" t="s">
        <v>66</v>
      </c>
      <c r="H111" s="39">
        <v>37</v>
      </c>
      <c r="I111" s="20"/>
      <c r="J111" s="8"/>
      <c r="K111" s="8"/>
    </row>
    <row r="112" spans="1:11" ht="45" x14ac:dyDescent="0.25">
      <c r="A112" s="19">
        <f t="shared" si="11"/>
        <v>81</v>
      </c>
      <c r="B112" s="22" t="s">
        <v>41</v>
      </c>
      <c r="C112" s="16" t="s">
        <v>21</v>
      </c>
      <c r="D112" s="60">
        <f>D111</f>
        <v>62.980000000000011</v>
      </c>
      <c r="E112" s="22" t="s">
        <v>478</v>
      </c>
      <c r="F112" s="24" t="s">
        <v>96</v>
      </c>
      <c r="G112" s="21" t="s">
        <v>66</v>
      </c>
      <c r="H112" s="39">
        <v>37</v>
      </c>
      <c r="I112" s="20"/>
      <c r="J112" s="8"/>
      <c r="K112" s="16"/>
    </row>
    <row r="113" spans="1:11" ht="45" x14ac:dyDescent="0.25">
      <c r="A113" s="19">
        <f t="shared" si="11"/>
        <v>82</v>
      </c>
      <c r="B113" s="23" t="s">
        <v>39</v>
      </c>
      <c r="C113" s="16" t="s">
        <v>30</v>
      </c>
      <c r="D113" s="60">
        <f>(6.7+23.5)*2*0.4</f>
        <v>24.16</v>
      </c>
      <c r="E113" s="23" t="s">
        <v>479</v>
      </c>
      <c r="F113" s="24" t="s">
        <v>96</v>
      </c>
      <c r="G113" s="21" t="s">
        <v>66</v>
      </c>
      <c r="H113" s="39">
        <v>37</v>
      </c>
      <c r="I113" s="20"/>
      <c r="J113" s="8"/>
      <c r="K113" s="16"/>
    </row>
    <row r="114" spans="1:11" ht="45" x14ac:dyDescent="0.25">
      <c r="A114" s="19">
        <f t="shared" si="11"/>
        <v>83</v>
      </c>
      <c r="B114" s="23" t="s">
        <v>42</v>
      </c>
      <c r="C114" s="16" t="s">
        <v>31</v>
      </c>
      <c r="D114" s="60">
        <f>D113*5</f>
        <v>120.8</v>
      </c>
      <c r="E114" s="22" t="s">
        <v>480</v>
      </c>
      <c r="F114" s="24" t="s">
        <v>96</v>
      </c>
      <c r="G114" s="21" t="s">
        <v>66</v>
      </c>
      <c r="H114" s="39">
        <v>37</v>
      </c>
      <c r="I114" s="20"/>
      <c r="J114" s="8"/>
      <c r="K114" s="16"/>
    </row>
    <row r="115" spans="1:11" ht="45" x14ac:dyDescent="0.25">
      <c r="A115" s="19">
        <f t="shared" si="11"/>
        <v>84</v>
      </c>
      <c r="B115" s="23" t="s">
        <v>43</v>
      </c>
      <c r="C115" s="16" t="s">
        <v>31</v>
      </c>
      <c r="D115" s="60">
        <f>D113*0.16</f>
        <v>3.8656000000000001</v>
      </c>
      <c r="E115" s="22" t="s">
        <v>481</v>
      </c>
      <c r="F115" s="24" t="s">
        <v>96</v>
      </c>
      <c r="G115" s="21" t="s">
        <v>66</v>
      </c>
      <c r="H115" s="39">
        <v>37</v>
      </c>
      <c r="I115" s="20"/>
      <c r="J115" s="8"/>
      <c r="K115" s="16"/>
    </row>
    <row r="116" spans="1:11" x14ac:dyDescent="0.25">
      <c r="A116" s="99" t="s">
        <v>79</v>
      </c>
      <c r="B116" s="100"/>
      <c r="C116" s="100"/>
      <c r="D116" s="100"/>
      <c r="E116" s="100"/>
      <c r="F116" s="100"/>
      <c r="G116" s="100"/>
      <c r="H116" s="100"/>
      <c r="I116" s="100"/>
      <c r="J116" s="100"/>
      <c r="K116" s="101"/>
    </row>
    <row r="117" spans="1:11" x14ac:dyDescent="0.25">
      <c r="A117" s="99" t="s">
        <v>26</v>
      </c>
      <c r="B117" s="100"/>
      <c r="C117" s="100"/>
      <c r="D117" s="100"/>
      <c r="E117" s="100"/>
      <c r="F117" s="100"/>
      <c r="G117" s="100"/>
      <c r="H117" s="100"/>
      <c r="I117" s="100"/>
      <c r="J117" s="100"/>
      <c r="K117" s="101"/>
    </row>
    <row r="118" spans="1:11" ht="90" x14ac:dyDescent="0.25">
      <c r="A118" s="64">
        <f>A115+1</f>
        <v>85</v>
      </c>
      <c r="B118" s="35" t="s">
        <v>45</v>
      </c>
      <c r="C118" s="26" t="s">
        <v>21</v>
      </c>
      <c r="D118" s="65">
        <f>9.8*11.9*0.5</f>
        <v>58.310000000000009</v>
      </c>
      <c r="E118" s="66" t="s">
        <v>68</v>
      </c>
      <c r="F118" s="24" t="s">
        <v>97</v>
      </c>
      <c r="G118" s="21" t="s">
        <v>66</v>
      </c>
      <c r="H118" s="39">
        <v>38</v>
      </c>
      <c r="I118" s="36" t="s">
        <v>59</v>
      </c>
      <c r="J118" s="8"/>
      <c r="K118" s="16"/>
    </row>
    <row r="119" spans="1:11" ht="60" x14ac:dyDescent="0.25">
      <c r="A119" s="64">
        <f>A118+1</f>
        <v>86</v>
      </c>
      <c r="B119" s="35" t="s">
        <v>398</v>
      </c>
      <c r="C119" s="16" t="s">
        <v>6</v>
      </c>
      <c r="D119" s="65">
        <f>(D118-D120)*1.96</f>
        <v>76.377279999999999</v>
      </c>
      <c r="E119" s="66" t="s">
        <v>69</v>
      </c>
      <c r="F119" s="24" t="s">
        <v>97</v>
      </c>
      <c r="G119" s="21" t="s">
        <v>66</v>
      </c>
      <c r="H119" s="39">
        <v>38</v>
      </c>
      <c r="I119" s="8"/>
      <c r="J119" s="8"/>
      <c r="K119" s="16"/>
    </row>
    <row r="120" spans="1:11" ht="45" x14ac:dyDescent="0.25">
      <c r="A120" s="64">
        <f t="shared" ref="A120:A121" si="12">A119+1</f>
        <v>87</v>
      </c>
      <c r="B120" s="25" t="s">
        <v>46</v>
      </c>
      <c r="C120" s="16" t="s">
        <v>21</v>
      </c>
      <c r="D120" s="65">
        <f>D118-D123-D128</f>
        <v>19.342000000000009</v>
      </c>
      <c r="E120" s="66" t="s">
        <v>70</v>
      </c>
      <c r="F120" s="24" t="s">
        <v>97</v>
      </c>
      <c r="G120" s="21" t="s">
        <v>66</v>
      </c>
      <c r="H120" s="39">
        <v>38</v>
      </c>
      <c r="I120" s="64"/>
      <c r="J120" s="8"/>
      <c r="K120" s="16"/>
    </row>
    <row r="121" spans="1:11" ht="45" x14ac:dyDescent="0.25">
      <c r="A121" s="64">
        <f t="shared" si="12"/>
        <v>88</v>
      </c>
      <c r="B121" s="25" t="s">
        <v>33</v>
      </c>
      <c r="C121" s="16" t="s">
        <v>21</v>
      </c>
      <c r="D121" s="65">
        <f>D120</f>
        <v>19.342000000000009</v>
      </c>
      <c r="E121" s="66" t="s">
        <v>70</v>
      </c>
      <c r="F121" s="24" t="s">
        <v>97</v>
      </c>
      <c r="G121" s="21" t="s">
        <v>66</v>
      </c>
      <c r="H121" s="39">
        <v>38</v>
      </c>
      <c r="I121" s="64"/>
      <c r="J121" s="8"/>
      <c r="K121" s="16"/>
    </row>
    <row r="122" spans="1:11" x14ac:dyDescent="0.25">
      <c r="A122" s="95" t="s">
        <v>27</v>
      </c>
      <c r="B122" s="95"/>
      <c r="C122" s="95"/>
      <c r="D122" s="95"/>
      <c r="E122" s="95"/>
      <c r="F122" s="95"/>
      <c r="G122" s="95"/>
      <c r="H122" s="95"/>
      <c r="I122" s="95"/>
      <c r="J122" s="95"/>
      <c r="K122" s="95"/>
    </row>
    <row r="123" spans="1:11" ht="45" x14ac:dyDescent="0.25">
      <c r="A123" s="64">
        <f>A121+1</f>
        <v>89</v>
      </c>
      <c r="B123" s="25" t="s">
        <v>40</v>
      </c>
      <c r="C123" s="16" t="s">
        <v>21</v>
      </c>
      <c r="D123" s="65">
        <f>8*10.1*0.1</f>
        <v>8.08</v>
      </c>
      <c r="E123" s="66" t="s">
        <v>71</v>
      </c>
      <c r="F123" s="24" t="s">
        <v>97</v>
      </c>
      <c r="G123" s="21" t="s">
        <v>66</v>
      </c>
      <c r="H123" s="39">
        <v>38</v>
      </c>
      <c r="I123" s="64"/>
      <c r="J123" s="8"/>
      <c r="K123" s="16"/>
    </row>
    <row r="124" spans="1:11" ht="45" x14ac:dyDescent="0.25">
      <c r="A124" s="64">
        <f>A123+1</f>
        <v>90</v>
      </c>
      <c r="B124" s="25" t="s">
        <v>36</v>
      </c>
      <c r="C124" s="16" t="s">
        <v>21</v>
      </c>
      <c r="D124" s="65">
        <f>D123</f>
        <v>8.08</v>
      </c>
      <c r="E124" s="66" t="s">
        <v>71</v>
      </c>
      <c r="F124" s="24" t="s">
        <v>97</v>
      </c>
      <c r="G124" s="21" t="s">
        <v>66</v>
      </c>
      <c r="H124" s="39">
        <v>38</v>
      </c>
      <c r="I124" s="64"/>
      <c r="J124" s="8"/>
      <c r="K124" s="16"/>
    </row>
    <row r="125" spans="1:11" ht="45" x14ac:dyDescent="0.25">
      <c r="A125" s="64">
        <f t="shared" ref="A125:A132" si="13">A124+1</f>
        <v>91</v>
      </c>
      <c r="B125" s="23" t="s">
        <v>28</v>
      </c>
      <c r="C125" s="16" t="s">
        <v>6</v>
      </c>
      <c r="D125" s="67">
        <f>D126+D127</f>
        <v>1.7522215800000001</v>
      </c>
      <c r="E125" s="66" t="s">
        <v>72</v>
      </c>
      <c r="F125" s="24" t="s">
        <v>97</v>
      </c>
      <c r="G125" s="21" t="s">
        <v>66</v>
      </c>
      <c r="H125" s="39">
        <v>38</v>
      </c>
      <c r="I125" s="64"/>
      <c r="J125" s="8"/>
      <c r="K125" s="16"/>
    </row>
    <row r="126" spans="1:11" ht="45" x14ac:dyDescent="0.25">
      <c r="A126" s="64">
        <f t="shared" si="13"/>
        <v>92</v>
      </c>
      <c r="B126" s="23" t="s">
        <v>32</v>
      </c>
      <c r="C126" s="16" t="s">
        <v>6</v>
      </c>
      <c r="D126" s="67">
        <f>0.888*(7.75*50*2+9.85*40*2+1.89*164)/1000</f>
        <v>1.6631884800000001</v>
      </c>
      <c r="E126" s="66" t="s">
        <v>73</v>
      </c>
      <c r="F126" s="24" t="s">
        <v>97</v>
      </c>
      <c r="G126" s="21" t="s">
        <v>66</v>
      </c>
      <c r="H126" s="39">
        <v>38</v>
      </c>
      <c r="I126" s="64"/>
      <c r="J126" s="8"/>
      <c r="K126" s="16"/>
    </row>
    <row r="127" spans="1:11" ht="45" x14ac:dyDescent="0.25">
      <c r="A127" s="64">
        <f t="shared" si="13"/>
        <v>93</v>
      </c>
      <c r="B127" s="23" t="s">
        <v>37</v>
      </c>
      <c r="C127" s="16" t="s">
        <v>6</v>
      </c>
      <c r="D127" s="67">
        <f>0.617*1.11*130/1000</f>
        <v>8.9033100000000018E-2</v>
      </c>
      <c r="E127" s="66" t="s">
        <v>74</v>
      </c>
      <c r="F127" s="24" t="s">
        <v>97</v>
      </c>
      <c r="G127" s="21" t="s">
        <v>66</v>
      </c>
      <c r="H127" s="39">
        <v>38</v>
      </c>
      <c r="I127" s="64"/>
      <c r="J127" s="8"/>
      <c r="K127" s="16"/>
    </row>
    <row r="128" spans="1:11" ht="45" x14ac:dyDescent="0.25">
      <c r="A128" s="64">
        <f t="shared" si="13"/>
        <v>94</v>
      </c>
      <c r="B128" s="25" t="s">
        <v>48</v>
      </c>
      <c r="C128" s="16" t="s">
        <v>21</v>
      </c>
      <c r="D128" s="65">
        <f>7.8*9.9*0.4</f>
        <v>30.888000000000002</v>
      </c>
      <c r="E128" s="66" t="s">
        <v>75</v>
      </c>
      <c r="F128" s="24" t="s">
        <v>97</v>
      </c>
      <c r="G128" s="21" t="s">
        <v>66</v>
      </c>
      <c r="H128" s="39">
        <v>38</v>
      </c>
      <c r="I128" s="64"/>
      <c r="J128" s="8"/>
      <c r="K128" s="16"/>
    </row>
    <row r="129" spans="1:11" ht="45" x14ac:dyDescent="0.25">
      <c r="A129" s="64">
        <f t="shared" si="13"/>
        <v>95</v>
      </c>
      <c r="B129" s="22" t="s">
        <v>41</v>
      </c>
      <c r="C129" s="16" t="s">
        <v>21</v>
      </c>
      <c r="D129" s="65">
        <f>D128</f>
        <v>30.888000000000002</v>
      </c>
      <c r="E129" s="66" t="s">
        <v>75</v>
      </c>
      <c r="F129" s="24" t="s">
        <v>97</v>
      </c>
      <c r="G129" s="21" t="s">
        <v>66</v>
      </c>
      <c r="H129" s="39">
        <v>38</v>
      </c>
      <c r="I129" s="64"/>
      <c r="J129" s="8"/>
      <c r="K129" s="16"/>
    </row>
    <row r="130" spans="1:11" ht="45" x14ac:dyDescent="0.25">
      <c r="A130" s="64">
        <f t="shared" si="13"/>
        <v>96</v>
      </c>
      <c r="B130" s="23" t="s">
        <v>39</v>
      </c>
      <c r="C130" s="16" t="s">
        <v>30</v>
      </c>
      <c r="D130" s="65">
        <f>(7.8+9.9)*2*0.4</f>
        <v>14.16</v>
      </c>
      <c r="E130" s="66" t="s">
        <v>76</v>
      </c>
      <c r="F130" s="24" t="s">
        <v>97</v>
      </c>
      <c r="G130" s="21" t="s">
        <v>66</v>
      </c>
      <c r="H130" s="39">
        <v>38</v>
      </c>
      <c r="I130" s="64"/>
      <c r="J130" s="8"/>
      <c r="K130" s="16"/>
    </row>
    <row r="131" spans="1:11" ht="45" x14ac:dyDescent="0.25">
      <c r="A131" s="64">
        <f t="shared" si="13"/>
        <v>97</v>
      </c>
      <c r="B131" s="23" t="s">
        <v>42</v>
      </c>
      <c r="C131" s="16" t="s">
        <v>31</v>
      </c>
      <c r="D131" s="65">
        <f>D130*5</f>
        <v>70.8</v>
      </c>
      <c r="E131" s="66" t="s">
        <v>77</v>
      </c>
      <c r="F131" s="24" t="s">
        <v>97</v>
      </c>
      <c r="G131" s="21" t="s">
        <v>66</v>
      </c>
      <c r="H131" s="39">
        <v>38</v>
      </c>
      <c r="I131" s="64"/>
      <c r="J131" s="8"/>
      <c r="K131" s="16"/>
    </row>
    <row r="132" spans="1:11" ht="45" x14ac:dyDescent="0.25">
      <c r="A132" s="64">
        <f t="shared" si="13"/>
        <v>98</v>
      </c>
      <c r="B132" s="23" t="s">
        <v>43</v>
      </c>
      <c r="C132" s="16" t="s">
        <v>31</v>
      </c>
      <c r="D132" s="65">
        <f>D130*0.16</f>
        <v>2.2656000000000001</v>
      </c>
      <c r="E132" s="66" t="s">
        <v>78</v>
      </c>
      <c r="F132" s="24" t="s">
        <v>97</v>
      </c>
      <c r="G132" s="21" t="s">
        <v>66</v>
      </c>
      <c r="H132" s="39">
        <v>38</v>
      </c>
      <c r="I132" s="64"/>
      <c r="J132" s="8"/>
      <c r="K132" s="16"/>
    </row>
    <row r="133" spans="1:11" x14ac:dyDescent="0.25">
      <c r="A133" s="99" t="s">
        <v>369</v>
      </c>
      <c r="B133" s="100"/>
      <c r="C133" s="100"/>
      <c r="D133" s="100"/>
      <c r="E133" s="100"/>
      <c r="F133" s="100"/>
      <c r="G133" s="100"/>
      <c r="H133" s="100"/>
      <c r="I133" s="100"/>
      <c r="J133" s="100"/>
      <c r="K133" s="101"/>
    </row>
    <row r="134" spans="1:11" x14ac:dyDescent="0.25">
      <c r="A134" s="99" t="s">
        <v>26</v>
      </c>
      <c r="B134" s="100"/>
      <c r="C134" s="100"/>
      <c r="D134" s="100"/>
      <c r="E134" s="100"/>
      <c r="F134" s="100"/>
      <c r="G134" s="100"/>
      <c r="H134" s="100"/>
      <c r="I134" s="100"/>
      <c r="J134" s="100"/>
      <c r="K134" s="101"/>
    </row>
    <row r="135" spans="1:11" ht="90" x14ac:dyDescent="0.25">
      <c r="A135" s="26">
        <f>'[1]Вариант для импорта'!A159+1</f>
        <v>123</v>
      </c>
      <c r="B135" s="35" t="s">
        <v>45</v>
      </c>
      <c r="C135" s="26" t="s">
        <v>21</v>
      </c>
      <c r="D135" s="57">
        <f>2.83*2.37+(1.31+3.62)/2*2+(34.48+19.67)/2*0.54+(0.83+1.5)/2*0.25</f>
        <v>26.548850000000002</v>
      </c>
      <c r="E135" s="35" t="s">
        <v>98</v>
      </c>
      <c r="F135" s="25" t="s">
        <v>370</v>
      </c>
      <c r="G135" s="25" t="s">
        <v>66</v>
      </c>
      <c r="H135" s="22" t="s">
        <v>432</v>
      </c>
      <c r="I135" s="36" t="s">
        <v>59</v>
      </c>
      <c r="J135" s="27"/>
      <c r="K135" s="27"/>
    </row>
    <row r="136" spans="1:11" ht="45" x14ac:dyDescent="0.25">
      <c r="A136" s="19">
        <f>A135+1</f>
        <v>124</v>
      </c>
      <c r="B136" s="25" t="s">
        <v>46</v>
      </c>
      <c r="C136" s="16" t="s">
        <v>21</v>
      </c>
      <c r="D136" s="60">
        <f>(0.84+0.49)/2*2+1.32*5.48</f>
        <v>8.563600000000001</v>
      </c>
      <c r="E136" s="23" t="s">
        <v>99</v>
      </c>
      <c r="F136" s="25" t="s">
        <v>370</v>
      </c>
      <c r="G136" s="25" t="s">
        <v>66</v>
      </c>
      <c r="H136" s="22" t="s">
        <v>432</v>
      </c>
      <c r="I136" s="8"/>
      <c r="J136" s="8"/>
      <c r="K136" s="27"/>
    </row>
    <row r="137" spans="1:11" ht="45" x14ac:dyDescent="0.25">
      <c r="A137" s="26">
        <f>A136+1</f>
        <v>125</v>
      </c>
      <c r="B137" s="68" t="s">
        <v>33</v>
      </c>
      <c r="C137" s="26" t="s">
        <v>21</v>
      </c>
      <c r="D137" s="57">
        <f>D136</f>
        <v>8.563600000000001</v>
      </c>
      <c r="E137" s="23" t="s">
        <v>100</v>
      </c>
      <c r="F137" s="25" t="s">
        <v>370</v>
      </c>
      <c r="G137" s="25" t="s">
        <v>66</v>
      </c>
      <c r="H137" s="22" t="s">
        <v>432</v>
      </c>
      <c r="I137" s="69"/>
      <c r="J137" s="27"/>
      <c r="K137" s="27"/>
    </row>
    <row r="138" spans="1:11" ht="45" x14ac:dyDescent="0.25">
      <c r="A138" s="26">
        <f>A137+1</f>
        <v>126</v>
      </c>
      <c r="B138" s="68" t="s">
        <v>101</v>
      </c>
      <c r="C138" s="26" t="s">
        <v>21</v>
      </c>
      <c r="D138" s="57">
        <f>D135-D136</f>
        <v>17.985250000000001</v>
      </c>
      <c r="E138" s="35" t="s">
        <v>102</v>
      </c>
      <c r="F138" s="25" t="s">
        <v>370</v>
      </c>
      <c r="G138" s="25" t="s">
        <v>66</v>
      </c>
      <c r="H138" s="22" t="s">
        <v>432</v>
      </c>
      <c r="I138" s="69"/>
      <c r="J138" s="27"/>
      <c r="K138" s="27"/>
    </row>
    <row r="139" spans="1:11" ht="90" x14ac:dyDescent="0.25">
      <c r="A139" s="16">
        <f>A138+1</f>
        <v>127</v>
      </c>
      <c r="B139" s="25" t="s">
        <v>103</v>
      </c>
      <c r="C139" s="16" t="s">
        <v>30</v>
      </c>
      <c r="D139" s="60">
        <f>22/COS(RADIANS(60.4))</f>
        <v>44.539654336525807</v>
      </c>
      <c r="E139" s="22" t="s">
        <v>104</v>
      </c>
      <c r="F139" s="25" t="s">
        <v>370</v>
      </c>
      <c r="G139" s="25" t="s">
        <v>66</v>
      </c>
      <c r="H139" s="22" t="s">
        <v>432</v>
      </c>
      <c r="I139" s="28"/>
      <c r="J139" s="8"/>
      <c r="K139" s="8"/>
    </row>
    <row r="140" spans="1:11" x14ac:dyDescent="0.25">
      <c r="A140" s="99" t="s">
        <v>105</v>
      </c>
      <c r="B140" s="100"/>
      <c r="C140" s="100"/>
      <c r="D140" s="100"/>
      <c r="E140" s="100"/>
      <c r="F140" s="100"/>
      <c r="G140" s="100"/>
      <c r="H140" s="100"/>
      <c r="I140" s="100"/>
      <c r="J140" s="100"/>
      <c r="K140" s="101"/>
    </row>
    <row r="141" spans="1:11" ht="45" x14ac:dyDescent="0.25">
      <c r="A141" s="16">
        <f>A139+1</f>
        <v>128</v>
      </c>
      <c r="B141" s="68" t="s">
        <v>106</v>
      </c>
      <c r="C141" s="26" t="s">
        <v>21</v>
      </c>
      <c r="D141" s="60">
        <f>2.83*2.37-0.33</f>
        <v>6.3771000000000004</v>
      </c>
      <c r="E141" s="22" t="s">
        <v>107</v>
      </c>
      <c r="F141" s="25" t="s">
        <v>370</v>
      </c>
      <c r="G141" s="25" t="s">
        <v>66</v>
      </c>
      <c r="H141" s="22" t="s">
        <v>432</v>
      </c>
      <c r="I141" s="28"/>
      <c r="J141" s="8"/>
      <c r="K141" s="25"/>
    </row>
    <row r="142" spans="1:11" ht="45" x14ac:dyDescent="0.25">
      <c r="A142" s="16">
        <f t="shared" ref="A142:A171" si="14">A141+1</f>
        <v>129</v>
      </c>
      <c r="B142" s="68" t="s">
        <v>108</v>
      </c>
      <c r="C142" s="26" t="s">
        <v>21</v>
      </c>
      <c r="D142" s="60">
        <f>D141</f>
        <v>6.3771000000000004</v>
      </c>
      <c r="E142" s="22" t="s">
        <v>107</v>
      </c>
      <c r="F142" s="25" t="s">
        <v>370</v>
      </c>
      <c r="G142" s="25" t="s">
        <v>66</v>
      </c>
      <c r="H142" s="22" t="s">
        <v>432</v>
      </c>
      <c r="I142" s="28"/>
      <c r="J142" s="8"/>
      <c r="K142" s="25"/>
    </row>
    <row r="143" spans="1:11" ht="60" x14ac:dyDescent="0.25">
      <c r="A143" s="16">
        <f t="shared" si="14"/>
        <v>130</v>
      </c>
      <c r="B143" s="68" t="s">
        <v>109</v>
      </c>
      <c r="C143" s="26" t="s">
        <v>21</v>
      </c>
      <c r="D143" s="60">
        <f>1.75*2.945-(0.49*2+0.47+(0.82*1.1*0.2+0.72*1.1*0.2)+(0.049*2*2+0.027*4))</f>
        <v>3.0609499999999996</v>
      </c>
      <c r="E143" s="23" t="s">
        <v>110</v>
      </c>
      <c r="F143" s="25" t="s">
        <v>370</v>
      </c>
      <c r="G143" s="25" t="s">
        <v>66</v>
      </c>
      <c r="H143" s="22" t="s">
        <v>432</v>
      </c>
      <c r="I143" s="28"/>
      <c r="J143" s="8"/>
      <c r="K143" s="25"/>
    </row>
    <row r="144" spans="1:11" ht="60" x14ac:dyDescent="0.25">
      <c r="A144" s="16">
        <f t="shared" si="14"/>
        <v>131</v>
      </c>
      <c r="B144" s="68" t="s">
        <v>108</v>
      </c>
      <c r="C144" s="26" t="s">
        <v>21</v>
      </c>
      <c r="D144" s="60">
        <f>1.75*2.945-(0.49*2+0.47+(0.82*1.1*0.2+0.72*1.1*0.2)+(0.049*2*2+0.027*4))</f>
        <v>3.0609499999999996</v>
      </c>
      <c r="E144" s="23" t="s">
        <v>110</v>
      </c>
      <c r="F144" s="25" t="s">
        <v>370</v>
      </c>
      <c r="G144" s="25" t="s">
        <v>66</v>
      </c>
      <c r="H144" s="22" t="s">
        <v>432</v>
      </c>
      <c r="I144" s="28"/>
      <c r="J144" s="8"/>
      <c r="K144" s="25"/>
    </row>
    <row r="145" spans="1:11" ht="45" x14ac:dyDescent="0.25">
      <c r="A145" s="16">
        <f t="shared" si="14"/>
        <v>132</v>
      </c>
      <c r="B145" s="68" t="s">
        <v>111</v>
      </c>
      <c r="C145" s="26" t="s">
        <v>112</v>
      </c>
      <c r="D145" s="62">
        <v>2</v>
      </c>
      <c r="E145" s="23"/>
      <c r="F145" s="25" t="s">
        <v>370</v>
      </c>
      <c r="G145" s="25" t="s">
        <v>66</v>
      </c>
      <c r="H145" s="22" t="s">
        <v>432</v>
      </c>
      <c r="I145" s="28"/>
      <c r="J145" s="8"/>
      <c r="K145" s="25"/>
    </row>
    <row r="146" spans="1:11" ht="45" x14ac:dyDescent="0.25">
      <c r="A146" s="16">
        <f t="shared" si="14"/>
        <v>133</v>
      </c>
      <c r="B146" s="68" t="s">
        <v>113</v>
      </c>
      <c r="C146" s="26" t="s">
        <v>31</v>
      </c>
      <c r="D146" s="60">
        <f>14.28*2</f>
        <v>28.56</v>
      </c>
      <c r="E146" s="23" t="s">
        <v>114</v>
      </c>
      <c r="F146" s="25" t="s">
        <v>370</v>
      </c>
      <c r="G146" s="25" t="s">
        <v>66</v>
      </c>
      <c r="H146" s="22" t="s">
        <v>432</v>
      </c>
      <c r="I146" s="28"/>
      <c r="J146" s="8"/>
      <c r="K146" s="25"/>
    </row>
    <row r="147" spans="1:11" ht="45" x14ac:dyDescent="0.25">
      <c r="A147" s="16">
        <f t="shared" si="14"/>
        <v>134</v>
      </c>
      <c r="B147" s="68" t="s">
        <v>115</v>
      </c>
      <c r="C147" s="26" t="s">
        <v>21</v>
      </c>
      <c r="D147" s="60">
        <v>0.63</v>
      </c>
      <c r="E147" s="22"/>
      <c r="F147" s="25" t="s">
        <v>370</v>
      </c>
      <c r="G147" s="25" t="s">
        <v>66</v>
      </c>
      <c r="H147" s="22" t="s">
        <v>432</v>
      </c>
      <c r="I147" s="28"/>
      <c r="J147" s="8"/>
      <c r="K147" s="8"/>
    </row>
    <row r="148" spans="1:11" ht="45" x14ac:dyDescent="0.25">
      <c r="A148" s="16">
        <f t="shared" si="14"/>
        <v>135</v>
      </c>
      <c r="B148" s="68" t="s">
        <v>116</v>
      </c>
      <c r="C148" s="26" t="s">
        <v>6</v>
      </c>
      <c r="D148" s="60">
        <v>1.6</v>
      </c>
      <c r="E148" s="22"/>
      <c r="F148" s="25" t="s">
        <v>370</v>
      </c>
      <c r="G148" s="25" t="s">
        <v>66</v>
      </c>
      <c r="H148" s="22" t="s">
        <v>432</v>
      </c>
      <c r="I148" s="28" t="s">
        <v>117</v>
      </c>
      <c r="J148" s="8"/>
      <c r="K148" s="8"/>
    </row>
    <row r="149" spans="1:11" ht="45" x14ac:dyDescent="0.25">
      <c r="A149" s="16">
        <f t="shared" si="14"/>
        <v>136</v>
      </c>
      <c r="B149" s="68" t="s">
        <v>118</v>
      </c>
      <c r="C149" s="26" t="s">
        <v>21</v>
      </c>
      <c r="D149" s="60">
        <f>(0.06*2*2)+(0.058*4)</f>
        <v>0.47199999999999998</v>
      </c>
      <c r="E149" s="23" t="s">
        <v>119</v>
      </c>
      <c r="F149" s="25" t="s">
        <v>370</v>
      </c>
      <c r="G149" s="25" t="s">
        <v>66</v>
      </c>
      <c r="H149" s="22" t="s">
        <v>432</v>
      </c>
      <c r="I149" s="28"/>
      <c r="J149" s="8"/>
      <c r="K149" s="25"/>
    </row>
    <row r="150" spans="1:11" ht="45" x14ac:dyDescent="0.25">
      <c r="A150" s="16">
        <f t="shared" si="14"/>
        <v>137</v>
      </c>
      <c r="B150" s="68" t="s">
        <v>120</v>
      </c>
      <c r="C150" s="26" t="s">
        <v>6</v>
      </c>
      <c r="D150" s="60">
        <f>0.47*1.015</f>
        <v>0.47704999999999992</v>
      </c>
      <c r="E150" s="23" t="s">
        <v>121</v>
      </c>
      <c r="F150" s="25" t="s">
        <v>370</v>
      </c>
      <c r="G150" s="25" t="s">
        <v>66</v>
      </c>
      <c r="H150" s="22" t="s">
        <v>432</v>
      </c>
      <c r="I150" s="28"/>
      <c r="J150" s="8"/>
      <c r="K150" s="25"/>
    </row>
    <row r="151" spans="1:11" ht="45" x14ac:dyDescent="0.25">
      <c r="A151" s="16">
        <f t="shared" si="14"/>
        <v>138</v>
      </c>
      <c r="B151" s="68" t="s">
        <v>122</v>
      </c>
      <c r="C151" s="26" t="s">
        <v>112</v>
      </c>
      <c r="D151" s="62">
        <f>4+4</f>
        <v>8</v>
      </c>
      <c r="E151" s="22" t="s">
        <v>123</v>
      </c>
      <c r="F151" s="25" t="s">
        <v>370</v>
      </c>
      <c r="G151" s="25" t="s">
        <v>66</v>
      </c>
      <c r="H151" s="22" t="s">
        <v>432</v>
      </c>
      <c r="I151" s="20"/>
      <c r="J151" s="8"/>
      <c r="K151" s="25"/>
    </row>
    <row r="152" spans="1:11" ht="45" x14ac:dyDescent="0.25">
      <c r="A152" s="16">
        <f t="shared" si="14"/>
        <v>139</v>
      </c>
      <c r="B152" s="68" t="s">
        <v>124</v>
      </c>
      <c r="C152" s="26" t="s">
        <v>125</v>
      </c>
      <c r="D152" s="70">
        <v>4</v>
      </c>
      <c r="E152" s="22"/>
      <c r="F152" s="25" t="s">
        <v>370</v>
      </c>
      <c r="G152" s="25" t="s">
        <v>66</v>
      </c>
      <c r="H152" s="22" t="s">
        <v>432</v>
      </c>
      <c r="I152" s="20"/>
      <c r="J152" s="8"/>
      <c r="K152" s="25"/>
    </row>
    <row r="153" spans="1:11" ht="45" x14ac:dyDescent="0.25">
      <c r="A153" s="16">
        <f t="shared" si="14"/>
        <v>140</v>
      </c>
      <c r="B153" s="68" t="s">
        <v>126</v>
      </c>
      <c r="C153" s="26" t="s">
        <v>125</v>
      </c>
      <c r="D153" s="70">
        <v>4</v>
      </c>
      <c r="E153" s="22"/>
      <c r="F153" s="25" t="s">
        <v>370</v>
      </c>
      <c r="G153" s="25" t="s">
        <v>66</v>
      </c>
      <c r="H153" s="22" t="s">
        <v>432</v>
      </c>
      <c r="I153" s="20"/>
      <c r="J153" s="8"/>
      <c r="K153" s="25"/>
    </row>
    <row r="154" spans="1:11" ht="45" x14ac:dyDescent="0.25">
      <c r="A154" s="16">
        <f t="shared" si="14"/>
        <v>141</v>
      </c>
      <c r="B154" s="68" t="s">
        <v>127</v>
      </c>
      <c r="C154" s="26" t="s">
        <v>30</v>
      </c>
      <c r="D154" s="60">
        <f>0.82*1.1+0.72*1.1</f>
        <v>1.694</v>
      </c>
      <c r="E154" s="22" t="s">
        <v>128</v>
      </c>
      <c r="F154" s="25" t="s">
        <v>370</v>
      </c>
      <c r="G154" s="25" t="s">
        <v>66</v>
      </c>
      <c r="H154" s="22" t="s">
        <v>432</v>
      </c>
      <c r="I154" s="20"/>
      <c r="J154" s="8"/>
      <c r="K154" s="16"/>
    </row>
    <row r="155" spans="1:11" ht="45" x14ac:dyDescent="0.25">
      <c r="A155" s="16">
        <f t="shared" si="14"/>
        <v>142</v>
      </c>
      <c r="B155" s="68" t="s">
        <v>129</v>
      </c>
      <c r="C155" s="26" t="s">
        <v>6</v>
      </c>
      <c r="D155" s="60">
        <f>1.69*0.2*1.015</f>
        <v>0.34306999999999999</v>
      </c>
      <c r="E155" s="22" t="s">
        <v>130</v>
      </c>
      <c r="F155" s="25" t="s">
        <v>370</v>
      </c>
      <c r="G155" s="25" t="s">
        <v>66</v>
      </c>
      <c r="H155" s="22" t="s">
        <v>432</v>
      </c>
      <c r="I155" s="20"/>
      <c r="J155" s="8"/>
      <c r="K155" s="16"/>
    </row>
    <row r="156" spans="1:11" ht="45" x14ac:dyDescent="0.25">
      <c r="A156" s="16">
        <f t="shared" si="14"/>
        <v>143</v>
      </c>
      <c r="B156" s="68" t="s">
        <v>131</v>
      </c>
      <c r="C156" s="26" t="s">
        <v>31</v>
      </c>
      <c r="D156" s="60">
        <f>1.68*2.45</f>
        <v>4.1160000000000005</v>
      </c>
      <c r="E156" s="22" t="s">
        <v>132</v>
      </c>
      <c r="F156" s="25" t="s">
        <v>370</v>
      </c>
      <c r="G156" s="25" t="s">
        <v>66</v>
      </c>
      <c r="H156" s="22" t="s">
        <v>432</v>
      </c>
      <c r="I156" s="71" t="s">
        <v>133</v>
      </c>
      <c r="J156" s="8"/>
      <c r="K156" s="16"/>
    </row>
    <row r="157" spans="1:11" ht="45" x14ac:dyDescent="0.25">
      <c r="A157" s="16">
        <f t="shared" si="14"/>
        <v>144</v>
      </c>
      <c r="B157" s="68" t="s">
        <v>134</v>
      </c>
      <c r="C157" s="26" t="s">
        <v>31</v>
      </c>
      <c r="D157" s="60">
        <f>D154*0.8</f>
        <v>1.3552</v>
      </c>
      <c r="E157" s="23" t="s">
        <v>135</v>
      </c>
      <c r="F157" s="25" t="s">
        <v>370</v>
      </c>
      <c r="G157" s="25" t="s">
        <v>66</v>
      </c>
      <c r="H157" s="22" t="s">
        <v>432</v>
      </c>
      <c r="I157" s="71" t="s">
        <v>136</v>
      </c>
      <c r="J157" s="8"/>
      <c r="K157" s="16"/>
    </row>
    <row r="158" spans="1:11" ht="45" x14ac:dyDescent="0.25">
      <c r="A158" s="16">
        <f t="shared" si="14"/>
        <v>145</v>
      </c>
      <c r="B158" s="68" t="s">
        <v>39</v>
      </c>
      <c r="C158" s="26" t="s">
        <v>30</v>
      </c>
      <c r="D158" s="60">
        <f>1.8+1.85+1.5*(0.2+0.07+0.14+0.05)+1.89*0.3*2</f>
        <v>5.4740000000000002</v>
      </c>
      <c r="E158" s="23" t="s">
        <v>137</v>
      </c>
      <c r="F158" s="25" t="s">
        <v>370</v>
      </c>
      <c r="G158" s="25" t="s">
        <v>66</v>
      </c>
      <c r="H158" s="22" t="s">
        <v>432</v>
      </c>
      <c r="I158" s="71"/>
      <c r="J158" s="8"/>
      <c r="K158" s="16"/>
    </row>
    <row r="159" spans="1:11" ht="45" x14ac:dyDescent="0.25">
      <c r="A159" s="16">
        <f t="shared" si="14"/>
        <v>146</v>
      </c>
      <c r="B159" s="23" t="s">
        <v>42</v>
      </c>
      <c r="C159" s="16" t="s">
        <v>31</v>
      </c>
      <c r="D159" s="62">
        <f>D158*5</f>
        <v>27.37</v>
      </c>
      <c r="E159" s="22" t="s">
        <v>138</v>
      </c>
      <c r="F159" s="25" t="s">
        <v>370</v>
      </c>
      <c r="G159" s="25" t="s">
        <v>66</v>
      </c>
      <c r="H159" s="22" t="s">
        <v>432</v>
      </c>
      <c r="I159" s="71"/>
      <c r="J159" s="8"/>
      <c r="K159" s="16"/>
    </row>
    <row r="160" spans="1:11" ht="45" x14ac:dyDescent="0.25">
      <c r="A160" s="16">
        <f t="shared" si="14"/>
        <v>147</v>
      </c>
      <c r="B160" s="23" t="s">
        <v>43</v>
      </c>
      <c r="C160" s="16" t="s">
        <v>31</v>
      </c>
      <c r="D160" s="62">
        <f>D158*0.16</f>
        <v>0.87584000000000006</v>
      </c>
      <c r="E160" s="22" t="s">
        <v>139</v>
      </c>
      <c r="F160" s="25" t="s">
        <v>370</v>
      </c>
      <c r="G160" s="25" t="s">
        <v>66</v>
      </c>
      <c r="H160" s="22" t="s">
        <v>432</v>
      </c>
      <c r="I160" s="72"/>
      <c r="J160" s="8"/>
      <c r="K160" s="16"/>
    </row>
    <row r="161" spans="1:11" ht="45" x14ac:dyDescent="0.25">
      <c r="A161" s="16">
        <f t="shared" si="14"/>
        <v>148</v>
      </c>
      <c r="B161" s="68" t="s">
        <v>140</v>
      </c>
      <c r="C161" s="26" t="s">
        <v>30</v>
      </c>
      <c r="D161" s="60">
        <f>5.19/COS(RADIANS(60.4))+0.5*2.21*2</f>
        <v>12.717309363934952</v>
      </c>
      <c r="E161" s="22" t="s">
        <v>141</v>
      </c>
      <c r="F161" s="25" t="s">
        <v>370</v>
      </c>
      <c r="G161" s="25" t="s">
        <v>66</v>
      </c>
      <c r="H161" s="22" t="s">
        <v>432</v>
      </c>
      <c r="I161" s="71"/>
      <c r="J161" s="8"/>
      <c r="K161" s="16"/>
    </row>
    <row r="162" spans="1:11" ht="45" x14ac:dyDescent="0.25">
      <c r="A162" s="16">
        <f t="shared" si="14"/>
        <v>149</v>
      </c>
      <c r="B162" s="68" t="s">
        <v>129</v>
      </c>
      <c r="C162" s="26" t="s">
        <v>21</v>
      </c>
      <c r="D162" s="60">
        <f>D161*0.08*1.015</f>
        <v>1.0326455203515181</v>
      </c>
      <c r="E162" s="22" t="s">
        <v>142</v>
      </c>
      <c r="F162" s="25" t="s">
        <v>370</v>
      </c>
      <c r="G162" s="25" t="s">
        <v>66</v>
      </c>
      <c r="H162" s="22" t="s">
        <v>432</v>
      </c>
      <c r="I162" s="71"/>
      <c r="J162" s="8"/>
      <c r="K162" s="16"/>
    </row>
    <row r="163" spans="1:11" ht="45" x14ac:dyDescent="0.25">
      <c r="A163" s="16">
        <f t="shared" si="14"/>
        <v>150</v>
      </c>
      <c r="B163" s="68" t="s">
        <v>131</v>
      </c>
      <c r="C163" s="26" t="s">
        <v>31</v>
      </c>
      <c r="D163" s="62">
        <f>D161*2.45</f>
        <v>31.157407941640635</v>
      </c>
      <c r="E163" s="22" t="s">
        <v>143</v>
      </c>
      <c r="F163" s="25" t="s">
        <v>370</v>
      </c>
      <c r="G163" s="25" t="s">
        <v>66</v>
      </c>
      <c r="H163" s="22" t="s">
        <v>432</v>
      </c>
      <c r="I163" s="71" t="s">
        <v>133</v>
      </c>
      <c r="J163" s="8"/>
      <c r="K163" s="16"/>
    </row>
    <row r="164" spans="1:11" ht="45" x14ac:dyDescent="0.25">
      <c r="A164" s="16">
        <f t="shared" si="14"/>
        <v>151</v>
      </c>
      <c r="B164" s="68" t="s">
        <v>144</v>
      </c>
      <c r="C164" s="26" t="s">
        <v>21</v>
      </c>
      <c r="D164" s="60">
        <f>D161*0.1</f>
        <v>1.2717309363934952</v>
      </c>
      <c r="E164" s="23" t="s">
        <v>145</v>
      </c>
      <c r="F164" s="25" t="s">
        <v>370</v>
      </c>
      <c r="G164" s="25" t="s">
        <v>66</v>
      </c>
      <c r="H164" s="22" t="s">
        <v>432</v>
      </c>
      <c r="I164" s="71"/>
      <c r="J164" s="8"/>
      <c r="K164" s="16"/>
    </row>
    <row r="165" spans="1:11" ht="45" x14ac:dyDescent="0.25">
      <c r="A165" s="16">
        <f t="shared" si="14"/>
        <v>152</v>
      </c>
      <c r="B165" s="68" t="s">
        <v>146</v>
      </c>
      <c r="C165" s="26" t="s">
        <v>21</v>
      </c>
      <c r="D165" s="60">
        <f>D164*1.3</f>
        <v>1.6532502173115438</v>
      </c>
      <c r="E165" s="23" t="s">
        <v>395</v>
      </c>
      <c r="F165" s="25" t="s">
        <v>370</v>
      </c>
      <c r="G165" s="25" t="s">
        <v>66</v>
      </c>
      <c r="H165" s="22" t="s">
        <v>432</v>
      </c>
      <c r="I165" s="28" t="s">
        <v>391</v>
      </c>
      <c r="J165" s="8"/>
      <c r="K165" s="16"/>
    </row>
    <row r="166" spans="1:11" ht="45" x14ac:dyDescent="0.25">
      <c r="A166" s="16">
        <f t="shared" si="14"/>
        <v>153</v>
      </c>
      <c r="B166" s="68" t="s">
        <v>147</v>
      </c>
      <c r="C166" s="26" t="s">
        <v>148</v>
      </c>
      <c r="D166" s="62">
        <f>0.5*2</f>
        <v>1</v>
      </c>
      <c r="E166" s="22" t="s">
        <v>149</v>
      </c>
      <c r="F166" s="25" t="s">
        <v>370</v>
      </c>
      <c r="G166" s="25" t="s">
        <v>66</v>
      </c>
      <c r="H166" s="22" t="s">
        <v>432</v>
      </c>
      <c r="I166" s="20"/>
      <c r="J166" s="8"/>
      <c r="K166" s="16"/>
    </row>
    <row r="167" spans="1:11" ht="45" x14ac:dyDescent="0.25">
      <c r="A167" s="16">
        <f t="shared" si="14"/>
        <v>154</v>
      </c>
      <c r="B167" s="68" t="s">
        <v>129</v>
      </c>
      <c r="C167" s="26" t="s">
        <v>21</v>
      </c>
      <c r="D167" s="60">
        <f>0.4*0.5*0.5*2</f>
        <v>0.2</v>
      </c>
      <c r="E167" s="22" t="s">
        <v>150</v>
      </c>
      <c r="F167" s="25" t="s">
        <v>370</v>
      </c>
      <c r="G167" s="25" t="s">
        <v>66</v>
      </c>
      <c r="H167" s="22" t="s">
        <v>432</v>
      </c>
      <c r="I167" s="20"/>
      <c r="J167" s="8"/>
      <c r="K167" s="16"/>
    </row>
    <row r="168" spans="1:11" ht="45" x14ac:dyDescent="0.25">
      <c r="A168" s="16">
        <f t="shared" si="14"/>
        <v>155</v>
      </c>
      <c r="B168" s="68" t="s">
        <v>144</v>
      </c>
      <c r="C168" s="26" t="s">
        <v>21</v>
      </c>
      <c r="D168" s="60">
        <f>0.5*0.6*0.1*2</f>
        <v>0.06</v>
      </c>
      <c r="E168" s="22" t="s">
        <v>151</v>
      </c>
      <c r="F168" s="25" t="s">
        <v>370</v>
      </c>
      <c r="G168" s="25" t="s">
        <v>66</v>
      </c>
      <c r="H168" s="22" t="s">
        <v>432</v>
      </c>
      <c r="I168" s="20"/>
      <c r="J168" s="8"/>
      <c r="K168" s="16"/>
    </row>
    <row r="169" spans="1:11" ht="45" x14ac:dyDescent="0.25">
      <c r="A169" s="16">
        <f t="shared" si="14"/>
        <v>156</v>
      </c>
      <c r="B169" s="68" t="s">
        <v>146</v>
      </c>
      <c r="C169" s="26" t="s">
        <v>21</v>
      </c>
      <c r="D169" s="60">
        <f>D168*1.3</f>
        <v>7.8E-2</v>
      </c>
      <c r="E169" s="22" t="s">
        <v>396</v>
      </c>
      <c r="F169" s="25" t="s">
        <v>370</v>
      </c>
      <c r="G169" s="25" t="s">
        <v>66</v>
      </c>
      <c r="H169" s="22" t="s">
        <v>432</v>
      </c>
      <c r="I169" s="28" t="s">
        <v>391</v>
      </c>
      <c r="J169" s="8"/>
      <c r="K169" s="16"/>
    </row>
    <row r="170" spans="1:11" ht="45" x14ac:dyDescent="0.25">
      <c r="A170" s="16">
        <f t="shared" si="14"/>
        <v>157</v>
      </c>
      <c r="B170" s="68" t="s">
        <v>152</v>
      </c>
      <c r="C170" s="26" t="s">
        <v>21</v>
      </c>
      <c r="D170" s="60">
        <f>(0.83+1.5)/2*0.25</f>
        <v>0.29125000000000001</v>
      </c>
      <c r="E170" s="22" t="s">
        <v>153</v>
      </c>
      <c r="F170" s="25" t="s">
        <v>370</v>
      </c>
      <c r="G170" s="25" t="s">
        <v>66</v>
      </c>
      <c r="H170" s="22" t="s">
        <v>432</v>
      </c>
      <c r="I170" s="20"/>
      <c r="J170" s="8"/>
      <c r="K170" s="16"/>
    </row>
    <row r="171" spans="1:11" ht="45" x14ac:dyDescent="0.25">
      <c r="A171" s="16">
        <f t="shared" si="14"/>
        <v>158</v>
      </c>
      <c r="B171" s="25" t="s">
        <v>154</v>
      </c>
      <c r="C171" s="16" t="s">
        <v>21</v>
      </c>
      <c r="D171" s="60">
        <f>D170*1.3</f>
        <v>0.37862500000000004</v>
      </c>
      <c r="E171" s="22" t="s">
        <v>397</v>
      </c>
      <c r="F171" s="25" t="s">
        <v>370</v>
      </c>
      <c r="G171" s="25" t="s">
        <v>66</v>
      </c>
      <c r="H171" s="22" t="s">
        <v>432</v>
      </c>
      <c r="I171" s="28" t="s">
        <v>391</v>
      </c>
      <c r="J171" s="8"/>
      <c r="K171" s="16"/>
    </row>
    <row r="172" spans="1:11" x14ac:dyDescent="0.25">
      <c r="A172" s="95" t="s">
        <v>372</v>
      </c>
      <c r="B172" s="95"/>
      <c r="C172" s="95"/>
      <c r="D172" s="95"/>
      <c r="E172" s="95"/>
      <c r="F172" s="95"/>
      <c r="G172" s="95"/>
      <c r="H172" s="95"/>
      <c r="I172" s="95"/>
      <c r="J172" s="95"/>
      <c r="K172" s="95"/>
    </row>
    <row r="173" spans="1:11" x14ac:dyDescent="0.25">
      <c r="A173" s="95" t="s">
        <v>26</v>
      </c>
      <c r="B173" s="95"/>
      <c r="C173" s="95"/>
      <c r="D173" s="95"/>
      <c r="E173" s="95"/>
      <c r="F173" s="95"/>
      <c r="G173" s="95"/>
      <c r="H173" s="95"/>
      <c r="I173" s="95"/>
      <c r="J173" s="95"/>
      <c r="K173" s="95"/>
    </row>
    <row r="174" spans="1:11" ht="90" x14ac:dyDescent="0.25">
      <c r="A174" s="73">
        <f>A171+1</f>
        <v>159</v>
      </c>
      <c r="B174" s="35" t="s">
        <v>45</v>
      </c>
      <c r="C174" s="26" t="s">
        <v>21</v>
      </c>
      <c r="D174" s="74">
        <f>(27.04+202.92)/2*6.03</f>
        <v>693.32939999999996</v>
      </c>
      <c r="E174" s="75" t="s">
        <v>155</v>
      </c>
      <c r="F174" s="25" t="s">
        <v>371</v>
      </c>
      <c r="G174" s="25" t="s">
        <v>66</v>
      </c>
      <c r="H174" s="22">
        <v>41</v>
      </c>
      <c r="I174" s="36" t="s">
        <v>59</v>
      </c>
      <c r="J174" s="8"/>
      <c r="K174" s="16"/>
    </row>
    <row r="175" spans="1:11" ht="60" x14ac:dyDescent="0.25">
      <c r="A175" s="73">
        <f t="shared" ref="A175:A181" si="15">A174+1</f>
        <v>160</v>
      </c>
      <c r="B175" s="35" t="s">
        <v>398</v>
      </c>
      <c r="C175" s="16" t="s">
        <v>6</v>
      </c>
      <c r="D175" s="74">
        <f>(D174-D176)*1.96</f>
        <v>1001.8575279999999</v>
      </c>
      <c r="E175" s="75" t="s">
        <v>156</v>
      </c>
      <c r="F175" s="25" t="s">
        <v>371</v>
      </c>
      <c r="G175" s="25" t="s">
        <v>66</v>
      </c>
      <c r="H175" s="22">
        <v>41</v>
      </c>
      <c r="I175" s="8"/>
      <c r="J175" s="8"/>
      <c r="K175" s="16"/>
    </row>
    <row r="176" spans="1:11" ht="45" x14ac:dyDescent="0.25">
      <c r="A176" s="73">
        <f t="shared" si="15"/>
        <v>161</v>
      </c>
      <c r="B176" s="25" t="s">
        <v>46</v>
      </c>
      <c r="C176" s="16" t="s">
        <v>21</v>
      </c>
      <c r="D176" s="74">
        <f>(162.44+202.92)/2*1-0.4^2*3.14*1</f>
        <v>182.17760000000001</v>
      </c>
      <c r="E176" s="75" t="s">
        <v>157</v>
      </c>
      <c r="F176" s="25" t="s">
        <v>371</v>
      </c>
      <c r="G176" s="25" t="s">
        <v>66</v>
      </c>
      <c r="H176" s="22">
        <v>41</v>
      </c>
      <c r="I176" s="73"/>
      <c r="J176" s="8"/>
      <c r="K176" s="16"/>
    </row>
    <row r="177" spans="1:11" ht="45" x14ac:dyDescent="0.25">
      <c r="A177" s="73">
        <f t="shared" si="15"/>
        <v>162</v>
      </c>
      <c r="B177" s="25" t="s">
        <v>33</v>
      </c>
      <c r="C177" s="16" t="s">
        <v>21</v>
      </c>
      <c r="D177" s="74">
        <f>D176</f>
        <v>182.17760000000001</v>
      </c>
      <c r="E177" s="75" t="s">
        <v>157</v>
      </c>
      <c r="F177" s="25" t="s">
        <v>371</v>
      </c>
      <c r="G177" s="25" t="s">
        <v>66</v>
      </c>
      <c r="H177" s="22">
        <v>41</v>
      </c>
      <c r="I177" s="73"/>
      <c r="J177" s="8"/>
      <c r="K177" s="16"/>
    </row>
    <row r="178" spans="1:11" ht="45" x14ac:dyDescent="0.25">
      <c r="A178" s="73">
        <f t="shared" si="15"/>
        <v>163</v>
      </c>
      <c r="B178" s="25" t="s">
        <v>158</v>
      </c>
      <c r="C178" s="16" t="s">
        <v>21</v>
      </c>
      <c r="D178" s="74">
        <f>(27.04+162.44)/2*5.03-1^2*3.14*2.4-0.4^2*3.14*2.13-D183-D188</f>
        <v>463.31208799999996</v>
      </c>
      <c r="E178" s="75" t="s">
        <v>159</v>
      </c>
      <c r="F178" s="25" t="s">
        <v>371</v>
      </c>
      <c r="G178" s="25" t="s">
        <v>66</v>
      </c>
      <c r="H178" s="22">
        <v>41</v>
      </c>
      <c r="I178" s="73"/>
      <c r="J178" s="8"/>
      <c r="K178" s="16"/>
    </row>
    <row r="179" spans="1:11" ht="45" x14ac:dyDescent="0.25">
      <c r="A179" s="73">
        <f t="shared" si="15"/>
        <v>164</v>
      </c>
      <c r="B179" s="25" t="s">
        <v>33</v>
      </c>
      <c r="C179" s="16" t="s">
        <v>21</v>
      </c>
      <c r="D179" s="74">
        <f>D178</f>
        <v>463.31208799999996</v>
      </c>
      <c r="E179" s="75" t="s">
        <v>159</v>
      </c>
      <c r="F179" s="25" t="s">
        <v>371</v>
      </c>
      <c r="G179" s="25" t="s">
        <v>66</v>
      </c>
      <c r="H179" s="22">
        <v>41</v>
      </c>
      <c r="I179" s="73"/>
      <c r="J179" s="8"/>
      <c r="K179" s="16"/>
    </row>
    <row r="180" spans="1:11" ht="45" x14ac:dyDescent="0.25">
      <c r="A180" s="73">
        <f t="shared" si="15"/>
        <v>165</v>
      </c>
      <c r="B180" s="25" t="s">
        <v>160</v>
      </c>
      <c r="C180" s="16" t="s">
        <v>21</v>
      </c>
      <c r="D180" s="74">
        <f>D178</f>
        <v>463.31208799999996</v>
      </c>
      <c r="E180" s="75" t="s">
        <v>159</v>
      </c>
      <c r="F180" s="25" t="s">
        <v>371</v>
      </c>
      <c r="G180" s="25" t="s">
        <v>66</v>
      </c>
      <c r="H180" s="22">
        <v>41</v>
      </c>
      <c r="I180" s="73"/>
      <c r="J180" s="8"/>
      <c r="K180" s="16"/>
    </row>
    <row r="181" spans="1:11" ht="45" x14ac:dyDescent="0.25">
      <c r="A181" s="73">
        <f t="shared" si="15"/>
        <v>166</v>
      </c>
      <c r="B181" s="23" t="s">
        <v>431</v>
      </c>
      <c r="C181" s="16" t="s">
        <v>21</v>
      </c>
      <c r="D181" s="74">
        <f>D178*1.23</f>
        <v>569.87386823999998</v>
      </c>
      <c r="E181" s="75" t="s">
        <v>161</v>
      </c>
      <c r="F181" s="25" t="s">
        <v>371</v>
      </c>
      <c r="G181" s="25" t="s">
        <v>66</v>
      </c>
      <c r="H181" s="22">
        <v>41</v>
      </c>
      <c r="I181" s="28" t="s">
        <v>389</v>
      </c>
      <c r="J181" s="8"/>
      <c r="K181" s="16"/>
    </row>
    <row r="182" spans="1:11" x14ac:dyDescent="0.25">
      <c r="A182" s="95" t="s">
        <v>27</v>
      </c>
      <c r="B182" s="95"/>
      <c r="C182" s="95"/>
      <c r="D182" s="95"/>
      <c r="E182" s="95"/>
      <c r="F182" s="95"/>
      <c r="G182" s="95"/>
      <c r="H182" s="95"/>
      <c r="I182" s="95"/>
      <c r="J182" s="95"/>
      <c r="K182" s="95"/>
    </row>
    <row r="183" spans="1:11" ht="45" x14ac:dyDescent="0.25">
      <c r="A183" s="73">
        <f>A181+1</f>
        <v>167</v>
      </c>
      <c r="B183" s="23" t="s">
        <v>162</v>
      </c>
      <c r="C183" s="16" t="s">
        <v>21</v>
      </c>
      <c r="D183" s="74">
        <f>3.2*3.2*0.1</f>
        <v>1.0240000000000002</v>
      </c>
      <c r="E183" s="75" t="s">
        <v>163</v>
      </c>
      <c r="F183" s="25" t="s">
        <v>371</v>
      </c>
      <c r="G183" s="25" t="s">
        <v>66</v>
      </c>
      <c r="H183" s="22">
        <v>41</v>
      </c>
      <c r="I183" s="73"/>
      <c r="J183" s="8"/>
      <c r="K183" s="16"/>
    </row>
    <row r="184" spans="1:11" ht="45" x14ac:dyDescent="0.25">
      <c r="A184" s="73">
        <f t="shared" ref="A184:A192" si="16">A183+1</f>
        <v>168</v>
      </c>
      <c r="B184" s="23" t="s">
        <v>164</v>
      </c>
      <c r="C184" s="16" t="s">
        <v>21</v>
      </c>
      <c r="D184" s="74">
        <f>D183</f>
        <v>1.0240000000000002</v>
      </c>
      <c r="E184" s="75" t="s">
        <v>163</v>
      </c>
      <c r="F184" s="25" t="s">
        <v>371</v>
      </c>
      <c r="G184" s="25" t="s">
        <v>66</v>
      </c>
      <c r="H184" s="22">
        <v>41</v>
      </c>
      <c r="I184" s="73"/>
      <c r="J184" s="8"/>
      <c r="K184" s="16"/>
    </row>
    <row r="185" spans="1:11" ht="45" x14ac:dyDescent="0.25">
      <c r="A185" s="73">
        <f t="shared" si="16"/>
        <v>169</v>
      </c>
      <c r="B185" s="23" t="s">
        <v>28</v>
      </c>
      <c r="C185" s="16" t="s">
        <v>6</v>
      </c>
      <c r="D185" s="76">
        <f>D186+D187</f>
        <v>0.29279772000000004</v>
      </c>
      <c r="E185" s="55" t="s">
        <v>435</v>
      </c>
      <c r="F185" s="25" t="s">
        <v>371</v>
      </c>
      <c r="G185" s="25" t="s">
        <v>66</v>
      </c>
      <c r="H185" s="22">
        <v>41</v>
      </c>
      <c r="I185" s="73"/>
      <c r="J185" s="8"/>
      <c r="K185" s="16"/>
    </row>
    <row r="186" spans="1:11" ht="45" x14ac:dyDescent="0.25">
      <c r="A186" s="73">
        <f t="shared" si="16"/>
        <v>170</v>
      </c>
      <c r="B186" s="23" t="s">
        <v>32</v>
      </c>
      <c r="C186" s="16" t="s">
        <v>6</v>
      </c>
      <c r="D186" s="76">
        <f>0.888*(2.95*60+1.89*64)/1000</f>
        <v>0.26458848000000001</v>
      </c>
      <c r="E186" s="55" t="s">
        <v>434</v>
      </c>
      <c r="F186" s="25" t="s">
        <v>371</v>
      </c>
      <c r="G186" s="25" t="s">
        <v>66</v>
      </c>
      <c r="H186" s="22">
        <v>41</v>
      </c>
      <c r="I186" s="73"/>
      <c r="J186" s="8"/>
      <c r="K186" s="16"/>
    </row>
    <row r="187" spans="1:11" ht="45" x14ac:dyDescent="0.25">
      <c r="A187" s="73">
        <f t="shared" si="16"/>
        <v>171</v>
      </c>
      <c r="B187" s="23" t="s">
        <v>165</v>
      </c>
      <c r="C187" s="16" t="s">
        <v>6</v>
      </c>
      <c r="D187" s="76">
        <f>0.617*(2.95*12+0.43*24)/1000</f>
        <v>2.8209240000000003E-2</v>
      </c>
      <c r="E187" s="75" t="s">
        <v>166</v>
      </c>
      <c r="F187" s="25" t="s">
        <v>371</v>
      </c>
      <c r="G187" s="25" t="s">
        <v>66</v>
      </c>
      <c r="H187" s="22">
        <v>41</v>
      </c>
      <c r="I187" s="73"/>
      <c r="J187" s="8"/>
      <c r="K187" s="16"/>
    </row>
    <row r="188" spans="1:11" ht="45" x14ac:dyDescent="0.25">
      <c r="A188" s="73">
        <f t="shared" si="16"/>
        <v>172</v>
      </c>
      <c r="B188" s="23" t="s">
        <v>48</v>
      </c>
      <c r="C188" s="16" t="s">
        <v>21</v>
      </c>
      <c r="D188" s="74">
        <f>3*3*0.4</f>
        <v>3.6</v>
      </c>
      <c r="E188" s="75" t="s">
        <v>167</v>
      </c>
      <c r="F188" s="25" t="s">
        <v>371</v>
      </c>
      <c r="G188" s="25" t="s">
        <v>66</v>
      </c>
      <c r="H188" s="22">
        <v>41</v>
      </c>
      <c r="I188" s="73"/>
      <c r="J188" s="8"/>
      <c r="K188" s="16"/>
    </row>
    <row r="189" spans="1:11" ht="45" x14ac:dyDescent="0.25">
      <c r="A189" s="73">
        <f t="shared" si="16"/>
        <v>173</v>
      </c>
      <c r="B189" s="23" t="s">
        <v>168</v>
      </c>
      <c r="C189" s="16" t="s">
        <v>21</v>
      </c>
      <c r="D189" s="74">
        <f>D188</f>
        <v>3.6</v>
      </c>
      <c r="E189" s="75" t="s">
        <v>167</v>
      </c>
      <c r="F189" s="25" t="s">
        <v>371</v>
      </c>
      <c r="G189" s="25" t="s">
        <v>66</v>
      </c>
      <c r="H189" s="22">
        <v>41</v>
      </c>
      <c r="I189" s="73"/>
      <c r="J189" s="8"/>
      <c r="K189" s="16"/>
    </row>
    <row r="190" spans="1:11" ht="45" x14ac:dyDescent="0.25">
      <c r="A190" s="73">
        <f t="shared" si="16"/>
        <v>174</v>
      </c>
      <c r="B190" s="23" t="s">
        <v>169</v>
      </c>
      <c r="C190" s="16" t="s">
        <v>30</v>
      </c>
      <c r="D190" s="74">
        <f>3*3+12*0.4</f>
        <v>13.8</v>
      </c>
      <c r="E190" s="75" t="s">
        <v>170</v>
      </c>
      <c r="F190" s="25" t="s">
        <v>371</v>
      </c>
      <c r="G190" s="25" t="s">
        <v>66</v>
      </c>
      <c r="H190" s="22">
        <v>41</v>
      </c>
      <c r="I190" s="73"/>
      <c r="J190" s="8"/>
      <c r="K190" s="16"/>
    </row>
    <row r="191" spans="1:11" ht="45" x14ac:dyDescent="0.25">
      <c r="A191" s="73">
        <f t="shared" si="16"/>
        <v>175</v>
      </c>
      <c r="B191" s="23" t="s">
        <v>42</v>
      </c>
      <c r="C191" s="16" t="s">
        <v>31</v>
      </c>
      <c r="D191" s="77">
        <f>D190*5</f>
        <v>69</v>
      </c>
      <c r="E191" s="75" t="s">
        <v>171</v>
      </c>
      <c r="F191" s="25" t="s">
        <v>371</v>
      </c>
      <c r="G191" s="25" t="s">
        <v>66</v>
      </c>
      <c r="H191" s="22">
        <v>41</v>
      </c>
      <c r="I191" s="73"/>
      <c r="J191" s="8"/>
      <c r="K191" s="16"/>
    </row>
    <row r="192" spans="1:11" ht="45" x14ac:dyDescent="0.25">
      <c r="A192" s="73">
        <f t="shared" si="16"/>
        <v>176</v>
      </c>
      <c r="B192" s="23" t="s">
        <v>43</v>
      </c>
      <c r="C192" s="16" t="s">
        <v>31</v>
      </c>
      <c r="D192" s="74">
        <f>D190*0.16</f>
        <v>2.2080000000000002</v>
      </c>
      <c r="E192" s="75" t="s">
        <v>172</v>
      </c>
      <c r="F192" s="25" t="s">
        <v>371</v>
      </c>
      <c r="G192" s="25" t="s">
        <v>66</v>
      </c>
      <c r="H192" s="22">
        <v>41</v>
      </c>
      <c r="I192" s="73"/>
      <c r="J192" s="8"/>
      <c r="K192" s="16"/>
    </row>
    <row r="193" spans="1:11" x14ac:dyDescent="0.25">
      <c r="A193" s="95" t="s">
        <v>373</v>
      </c>
      <c r="B193" s="95"/>
      <c r="C193" s="95"/>
      <c r="D193" s="95"/>
      <c r="E193" s="95"/>
      <c r="F193" s="95"/>
      <c r="G193" s="95"/>
      <c r="H193" s="95"/>
      <c r="I193" s="95"/>
      <c r="J193" s="95"/>
      <c r="K193" s="95"/>
    </row>
    <row r="194" spans="1:11" x14ac:dyDescent="0.25">
      <c r="A194" s="95" t="s">
        <v>26</v>
      </c>
      <c r="B194" s="95"/>
      <c r="C194" s="95"/>
      <c r="D194" s="95"/>
      <c r="E194" s="95"/>
      <c r="F194" s="95"/>
      <c r="G194" s="95"/>
      <c r="H194" s="95"/>
      <c r="I194" s="95"/>
      <c r="J194" s="95"/>
      <c r="K194" s="95"/>
    </row>
    <row r="195" spans="1:11" ht="90" x14ac:dyDescent="0.25">
      <c r="A195" s="73">
        <f>A192+1</f>
        <v>177</v>
      </c>
      <c r="B195" s="35" t="s">
        <v>45</v>
      </c>
      <c r="C195" s="26" t="s">
        <v>21</v>
      </c>
      <c r="D195" s="74">
        <f>(27.04+156.75)/2*4.88</f>
        <v>448.44759999999997</v>
      </c>
      <c r="E195" s="75" t="s">
        <v>173</v>
      </c>
      <c r="F195" s="25" t="s">
        <v>374</v>
      </c>
      <c r="G195" s="25" t="s">
        <v>66</v>
      </c>
      <c r="H195" s="22">
        <v>42</v>
      </c>
      <c r="I195" s="36" t="s">
        <v>59</v>
      </c>
      <c r="J195" s="8"/>
      <c r="K195" s="16"/>
    </row>
    <row r="196" spans="1:11" ht="60" x14ac:dyDescent="0.25">
      <c r="A196" s="73">
        <f t="shared" ref="A196:A202" si="17">A195+1</f>
        <v>178</v>
      </c>
      <c r="B196" s="35" t="s">
        <v>398</v>
      </c>
      <c r="C196" s="16" t="s">
        <v>6</v>
      </c>
      <c r="D196" s="74">
        <f>(D195-D197)*1.96</f>
        <v>612.4854959999999</v>
      </c>
      <c r="E196" s="75" t="s">
        <v>174</v>
      </c>
      <c r="F196" s="25" t="s">
        <v>374</v>
      </c>
      <c r="G196" s="25" t="s">
        <v>66</v>
      </c>
      <c r="H196" s="22">
        <v>42</v>
      </c>
      <c r="I196" s="8"/>
      <c r="J196" s="8"/>
      <c r="K196" s="16"/>
    </row>
    <row r="197" spans="1:11" ht="45" x14ac:dyDescent="0.25">
      <c r="A197" s="73">
        <f t="shared" si="17"/>
        <v>179</v>
      </c>
      <c r="B197" s="25" t="s">
        <v>46</v>
      </c>
      <c r="C197" s="16" t="s">
        <v>21</v>
      </c>
      <c r="D197" s="74">
        <f>(121.44+156.75)/2*1-1^2*3.14*1</f>
        <v>135.95500000000001</v>
      </c>
      <c r="E197" s="75" t="s">
        <v>175</v>
      </c>
      <c r="F197" s="25" t="s">
        <v>374</v>
      </c>
      <c r="G197" s="25" t="s">
        <v>66</v>
      </c>
      <c r="H197" s="22">
        <v>42</v>
      </c>
      <c r="I197" s="73"/>
      <c r="J197" s="8"/>
      <c r="K197" s="16"/>
    </row>
    <row r="198" spans="1:11" ht="45" x14ac:dyDescent="0.25">
      <c r="A198" s="73">
        <f t="shared" si="17"/>
        <v>180</v>
      </c>
      <c r="B198" s="25" t="s">
        <v>33</v>
      </c>
      <c r="C198" s="16" t="s">
        <v>21</v>
      </c>
      <c r="D198" s="74">
        <f>D197</f>
        <v>135.95500000000001</v>
      </c>
      <c r="E198" s="75" t="s">
        <v>175</v>
      </c>
      <c r="F198" s="25" t="s">
        <v>374</v>
      </c>
      <c r="G198" s="25" t="s">
        <v>66</v>
      </c>
      <c r="H198" s="22">
        <v>42</v>
      </c>
      <c r="I198" s="73"/>
      <c r="J198" s="8"/>
      <c r="K198" s="16"/>
    </row>
    <row r="199" spans="1:11" ht="45" x14ac:dyDescent="0.25">
      <c r="A199" s="73">
        <f t="shared" si="17"/>
        <v>181</v>
      </c>
      <c r="B199" s="25" t="s">
        <v>158</v>
      </c>
      <c r="C199" s="16" t="s">
        <v>21</v>
      </c>
      <c r="D199" s="74">
        <f>(27.04+121.44)/2*3.88-1^2*3.14*3.3-0.4^2*3.14*0.08-D204-D209</f>
        <v>273.02500799999996</v>
      </c>
      <c r="E199" s="75" t="s">
        <v>176</v>
      </c>
      <c r="F199" s="25" t="s">
        <v>374</v>
      </c>
      <c r="G199" s="25" t="s">
        <v>66</v>
      </c>
      <c r="H199" s="22">
        <v>42</v>
      </c>
      <c r="I199" s="73"/>
      <c r="J199" s="8"/>
      <c r="K199" s="16"/>
    </row>
    <row r="200" spans="1:11" ht="45" x14ac:dyDescent="0.25">
      <c r="A200" s="73">
        <f t="shared" si="17"/>
        <v>182</v>
      </c>
      <c r="B200" s="25" t="s">
        <v>33</v>
      </c>
      <c r="C200" s="16" t="s">
        <v>21</v>
      </c>
      <c r="D200" s="74">
        <f>D199</f>
        <v>273.02500799999996</v>
      </c>
      <c r="E200" s="75" t="s">
        <v>176</v>
      </c>
      <c r="F200" s="25" t="s">
        <v>374</v>
      </c>
      <c r="G200" s="25" t="s">
        <v>66</v>
      </c>
      <c r="H200" s="22">
        <v>42</v>
      </c>
      <c r="I200" s="73"/>
      <c r="J200" s="8"/>
      <c r="K200" s="16"/>
    </row>
    <row r="201" spans="1:11" ht="45" x14ac:dyDescent="0.25">
      <c r="A201" s="73">
        <f t="shared" si="17"/>
        <v>183</v>
      </c>
      <c r="B201" s="25" t="s">
        <v>160</v>
      </c>
      <c r="C201" s="16" t="s">
        <v>21</v>
      </c>
      <c r="D201" s="74">
        <f>D199</f>
        <v>273.02500799999996</v>
      </c>
      <c r="E201" s="75" t="s">
        <v>176</v>
      </c>
      <c r="F201" s="25" t="s">
        <v>374</v>
      </c>
      <c r="G201" s="25" t="s">
        <v>66</v>
      </c>
      <c r="H201" s="22">
        <v>42</v>
      </c>
      <c r="I201" s="73"/>
      <c r="J201" s="8"/>
      <c r="K201" s="16"/>
    </row>
    <row r="202" spans="1:11" ht="45" x14ac:dyDescent="0.25">
      <c r="A202" s="73">
        <f t="shared" si="17"/>
        <v>184</v>
      </c>
      <c r="B202" s="23" t="s">
        <v>431</v>
      </c>
      <c r="C202" s="16" t="s">
        <v>21</v>
      </c>
      <c r="D202" s="74">
        <f>D199*1.23</f>
        <v>335.82075983999994</v>
      </c>
      <c r="E202" s="75" t="s">
        <v>177</v>
      </c>
      <c r="F202" s="25" t="s">
        <v>374</v>
      </c>
      <c r="G202" s="25" t="s">
        <v>66</v>
      </c>
      <c r="H202" s="22">
        <v>42</v>
      </c>
      <c r="I202" s="28" t="s">
        <v>389</v>
      </c>
      <c r="J202" s="8"/>
      <c r="K202" s="16"/>
    </row>
    <row r="203" spans="1:11" x14ac:dyDescent="0.25">
      <c r="A203" s="95" t="s">
        <v>27</v>
      </c>
      <c r="B203" s="95"/>
      <c r="C203" s="95"/>
      <c r="D203" s="95"/>
      <c r="E203" s="95"/>
      <c r="F203" s="95"/>
      <c r="G203" s="95"/>
      <c r="H203" s="95"/>
      <c r="I203" s="95"/>
      <c r="J203" s="95"/>
      <c r="K203" s="95"/>
    </row>
    <row r="204" spans="1:11" ht="45" x14ac:dyDescent="0.25">
      <c r="A204" s="73">
        <f>A202+1</f>
        <v>185</v>
      </c>
      <c r="B204" s="23" t="s">
        <v>162</v>
      </c>
      <c r="C204" s="16" t="s">
        <v>21</v>
      </c>
      <c r="D204" s="74">
        <f>3.2*3.2*0.1</f>
        <v>1.0240000000000002</v>
      </c>
      <c r="E204" s="75" t="s">
        <v>163</v>
      </c>
      <c r="F204" s="25" t="s">
        <v>374</v>
      </c>
      <c r="G204" s="25" t="s">
        <v>66</v>
      </c>
      <c r="H204" s="22">
        <v>42</v>
      </c>
      <c r="I204" s="73"/>
      <c r="J204" s="8"/>
      <c r="K204" s="16"/>
    </row>
    <row r="205" spans="1:11" ht="45" x14ac:dyDescent="0.25">
      <c r="A205" s="73">
        <f t="shared" ref="A205:A213" si="18">A204+1</f>
        <v>186</v>
      </c>
      <c r="B205" s="23" t="s">
        <v>164</v>
      </c>
      <c r="C205" s="16" t="s">
        <v>21</v>
      </c>
      <c r="D205" s="74">
        <f>D204</f>
        <v>1.0240000000000002</v>
      </c>
      <c r="E205" s="75" t="s">
        <v>163</v>
      </c>
      <c r="F205" s="25" t="s">
        <v>374</v>
      </c>
      <c r="G205" s="25" t="s">
        <v>66</v>
      </c>
      <c r="H205" s="22">
        <v>42</v>
      </c>
      <c r="I205" s="73"/>
      <c r="J205" s="8"/>
      <c r="K205" s="16"/>
    </row>
    <row r="206" spans="1:11" ht="45" x14ac:dyDescent="0.25">
      <c r="A206" s="73">
        <f t="shared" si="18"/>
        <v>187</v>
      </c>
      <c r="B206" s="23" t="s">
        <v>28</v>
      </c>
      <c r="C206" s="16" t="s">
        <v>6</v>
      </c>
      <c r="D206" s="76">
        <f>D207+D208</f>
        <v>0.29279772000000004</v>
      </c>
      <c r="E206" s="55" t="s">
        <v>435</v>
      </c>
      <c r="F206" s="25" t="s">
        <v>374</v>
      </c>
      <c r="G206" s="25" t="s">
        <v>66</v>
      </c>
      <c r="H206" s="22">
        <v>42</v>
      </c>
      <c r="I206" s="73"/>
      <c r="J206" s="8"/>
      <c r="K206" s="16"/>
    </row>
    <row r="207" spans="1:11" ht="45" x14ac:dyDescent="0.25">
      <c r="A207" s="73">
        <f t="shared" si="18"/>
        <v>188</v>
      </c>
      <c r="B207" s="23" t="s">
        <v>32</v>
      </c>
      <c r="C207" s="16" t="s">
        <v>6</v>
      </c>
      <c r="D207" s="76">
        <f>0.888*(2.95*60+1.89*64)/1000</f>
        <v>0.26458848000000001</v>
      </c>
      <c r="E207" s="55" t="s">
        <v>434</v>
      </c>
      <c r="F207" s="25" t="s">
        <v>374</v>
      </c>
      <c r="G207" s="25" t="s">
        <v>66</v>
      </c>
      <c r="H207" s="22">
        <v>42</v>
      </c>
      <c r="I207" s="73"/>
      <c r="J207" s="8"/>
      <c r="K207" s="16"/>
    </row>
    <row r="208" spans="1:11" ht="45" x14ac:dyDescent="0.25">
      <c r="A208" s="73">
        <f t="shared" si="18"/>
        <v>189</v>
      </c>
      <c r="B208" s="23" t="s">
        <v>165</v>
      </c>
      <c r="C208" s="16" t="s">
        <v>6</v>
      </c>
      <c r="D208" s="76">
        <f>0.617*(2.95*12+0.43*24)/1000</f>
        <v>2.8209240000000003E-2</v>
      </c>
      <c r="E208" s="75" t="s">
        <v>166</v>
      </c>
      <c r="F208" s="25" t="s">
        <v>374</v>
      </c>
      <c r="G208" s="25" t="s">
        <v>66</v>
      </c>
      <c r="H208" s="22">
        <v>42</v>
      </c>
      <c r="I208" s="73"/>
      <c r="J208" s="8"/>
      <c r="K208" s="16"/>
    </row>
    <row r="209" spans="1:11" ht="45" x14ac:dyDescent="0.25">
      <c r="A209" s="73">
        <f t="shared" si="18"/>
        <v>190</v>
      </c>
      <c r="B209" s="23" t="s">
        <v>48</v>
      </c>
      <c r="C209" s="16" t="s">
        <v>21</v>
      </c>
      <c r="D209" s="74">
        <f>3*3*0.4</f>
        <v>3.6</v>
      </c>
      <c r="E209" s="75" t="s">
        <v>167</v>
      </c>
      <c r="F209" s="25" t="s">
        <v>374</v>
      </c>
      <c r="G209" s="25" t="s">
        <v>66</v>
      </c>
      <c r="H209" s="22">
        <v>42</v>
      </c>
      <c r="I209" s="73"/>
      <c r="J209" s="8"/>
      <c r="K209" s="16"/>
    </row>
    <row r="210" spans="1:11" ht="45" x14ac:dyDescent="0.25">
      <c r="A210" s="73">
        <f t="shared" si="18"/>
        <v>191</v>
      </c>
      <c r="B210" s="23" t="s">
        <v>168</v>
      </c>
      <c r="C210" s="16" t="s">
        <v>21</v>
      </c>
      <c r="D210" s="74">
        <f>D209</f>
        <v>3.6</v>
      </c>
      <c r="E210" s="75" t="s">
        <v>167</v>
      </c>
      <c r="F210" s="25" t="s">
        <v>374</v>
      </c>
      <c r="G210" s="25" t="s">
        <v>66</v>
      </c>
      <c r="H210" s="22">
        <v>42</v>
      </c>
      <c r="I210" s="73"/>
      <c r="J210" s="8"/>
      <c r="K210" s="16"/>
    </row>
    <row r="211" spans="1:11" ht="45" x14ac:dyDescent="0.25">
      <c r="A211" s="73">
        <f t="shared" si="18"/>
        <v>192</v>
      </c>
      <c r="B211" s="23" t="s">
        <v>169</v>
      </c>
      <c r="C211" s="16" t="s">
        <v>30</v>
      </c>
      <c r="D211" s="74">
        <f>3*3+12*0.4</f>
        <v>13.8</v>
      </c>
      <c r="E211" s="75" t="s">
        <v>170</v>
      </c>
      <c r="F211" s="25" t="s">
        <v>374</v>
      </c>
      <c r="G211" s="25" t="s">
        <v>66</v>
      </c>
      <c r="H211" s="22">
        <v>42</v>
      </c>
      <c r="I211" s="73"/>
      <c r="J211" s="8"/>
      <c r="K211" s="16"/>
    </row>
    <row r="212" spans="1:11" ht="45" x14ac:dyDescent="0.25">
      <c r="A212" s="73">
        <f t="shared" si="18"/>
        <v>193</v>
      </c>
      <c r="B212" s="23" t="s">
        <v>42</v>
      </c>
      <c r="C212" s="16" t="s">
        <v>31</v>
      </c>
      <c r="D212" s="77">
        <f>D211*5</f>
        <v>69</v>
      </c>
      <c r="E212" s="75" t="s">
        <v>171</v>
      </c>
      <c r="F212" s="25" t="s">
        <v>374</v>
      </c>
      <c r="G212" s="25" t="s">
        <v>66</v>
      </c>
      <c r="H212" s="22">
        <v>42</v>
      </c>
      <c r="I212" s="73"/>
      <c r="J212" s="8"/>
      <c r="K212" s="16"/>
    </row>
    <row r="213" spans="1:11" ht="45" x14ac:dyDescent="0.25">
      <c r="A213" s="73">
        <f t="shared" si="18"/>
        <v>194</v>
      </c>
      <c r="B213" s="23" t="s">
        <v>43</v>
      </c>
      <c r="C213" s="16" t="s">
        <v>31</v>
      </c>
      <c r="D213" s="74">
        <f>D211*0.16</f>
        <v>2.2080000000000002</v>
      </c>
      <c r="E213" s="75" t="s">
        <v>172</v>
      </c>
      <c r="F213" s="25" t="s">
        <v>374</v>
      </c>
      <c r="G213" s="25" t="s">
        <v>66</v>
      </c>
      <c r="H213" s="22">
        <v>42</v>
      </c>
      <c r="I213" s="73"/>
      <c r="J213" s="8"/>
      <c r="K213" s="16"/>
    </row>
    <row r="214" spans="1:11" x14ac:dyDescent="0.25">
      <c r="A214" s="95" t="s">
        <v>375</v>
      </c>
      <c r="B214" s="95"/>
      <c r="C214" s="95"/>
      <c r="D214" s="95"/>
      <c r="E214" s="95"/>
      <c r="F214" s="95"/>
      <c r="G214" s="95"/>
      <c r="H214" s="95"/>
      <c r="I214" s="95"/>
      <c r="J214" s="95"/>
      <c r="K214" s="95"/>
    </row>
    <row r="215" spans="1:11" x14ac:dyDescent="0.25">
      <c r="A215" s="95" t="s">
        <v>26</v>
      </c>
      <c r="B215" s="95"/>
      <c r="C215" s="95"/>
      <c r="D215" s="95"/>
      <c r="E215" s="95"/>
      <c r="F215" s="95"/>
      <c r="G215" s="95"/>
      <c r="H215" s="95"/>
      <c r="I215" s="95"/>
      <c r="J215" s="95"/>
      <c r="K215" s="95"/>
    </row>
    <row r="216" spans="1:11" ht="90" x14ac:dyDescent="0.25">
      <c r="A216" s="73">
        <f>A213+1</f>
        <v>195</v>
      </c>
      <c r="B216" s="35" t="s">
        <v>45</v>
      </c>
      <c r="C216" s="26" t="s">
        <v>21</v>
      </c>
      <c r="D216" s="74">
        <f>(79.04+416)/2*7.2</f>
        <v>1782.144</v>
      </c>
      <c r="E216" s="75" t="s">
        <v>178</v>
      </c>
      <c r="F216" s="25" t="s">
        <v>376</v>
      </c>
      <c r="G216" s="25" t="s">
        <v>66</v>
      </c>
      <c r="H216" s="22">
        <v>43</v>
      </c>
      <c r="I216" s="36" t="s">
        <v>59</v>
      </c>
      <c r="J216" s="8"/>
      <c r="K216" s="16"/>
    </row>
    <row r="217" spans="1:11" ht="60" x14ac:dyDescent="0.25">
      <c r="A217" s="73">
        <f t="shared" ref="A217:A223" si="19">A216+1</f>
        <v>196</v>
      </c>
      <c r="B217" s="35" t="s">
        <v>398</v>
      </c>
      <c r="C217" s="16" t="s">
        <v>6</v>
      </c>
      <c r="D217" s="74">
        <f>(D216-D218)*1.96</f>
        <v>1048.0267392000003</v>
      </c>
      <c r="E217" s="75" t="s">
        <v>179</v>
      </c>
      <c r="F217" s="25" t="s">
        <v>376</v>
      </c>
      <c r="G217" s="25" t="s">
        <v>66</v>
      </c>
      <c r="H217" s="22">
        <v>43</v>
      </c>
      <c r="I217" s="8"/>
      <c r="J217" s="8"/>
      <c r="K217" s="16"/>
    </row>
    <row r="218" spans="1:11" ht="45" x14ac:dyDescent="0.25">
      <c r="A218" s="73">
        <f t="shared" si="19"/>
        <v>197</v>
      </c>
      <c r="B218" s="25" t="s">
        <v>46</v>
      </c>
      <c r="C218" s="16" t="s">
        <v>21</v>
      </c>
      <c r="D218" s="74">
        <f>(195.52+416)/2*4.1-0.4^2*3.14*4.1*3</f>
        <v>1247.4364799999998</v>
      </c>
      <c r="E218" s="75" t="s">
        <v>180</v>
      </c>
      <c r="F218" s="25" t="s">
        <v>376</v>
      </c>
      <c r="G218" s="25" t="s">
        <v>66</v>
      </c>
      <c r="H218" s="22">
        <v>43</v>
      </c>
      <c r="I218" s="73"/>
      <c r="J218" s="8"/>
      <c r="K218" s="16"/>
    </row>
    <row r="219" spans="1:11" ht="45" x14ac:dyDescent="0.25">
      <c r="A219" s="73">
        <f t="shared" si="19"/>
        <v>198</v>
      </c>
      <c r="B219" s="25" t="s">
        <v>33</v>
      </c>
      <c r="C219" s="16" t="s">
        <v>21</v>
      </c>
      <c r="D219" s="74">
        <f>D218</f>
        <v>1247.4364799999998</v>
      </c>
      <c r="E219" s="75" t="s">
        <v>180</v>
      </c>
      <c r="F219" s="25" t="s">
        <v>376</v>
      </c>
      <c r="G219" s="25" t="s">
        <v>66</v>
      </c>
      <c r="H219" s="22">
        <v>43</v>
      </c>
      <c r="I219" s="73"/>
      <c r="J219" s="8"/>
      <c r="K219" s="16"/>
    </row>
    <row r="220" spans="1:11" ht="60" x14ac:dyDescent="0.25">
      <c r="A220" s="73">
        <f t="shared" si="19"/>
        <v>199</v>
      </c>
      <c r="B220" s="25" t="s">
        <v>158</v>
      </c>
      <c r="C220" s="16" t="s">
        <v>21</v>
      </c>
      <c r="D220" s="74">
        <f>(79.04+195.52)/2*3.1-1^2*3.14*12-0.4^2*3.14*0.5*3-D225-D231-D233</f>
        <v>363.41040000000004</v>
      </c>
      <c r="E220" s="75" t="s">
        <v>181</v>
      </c>
      <c r="F220" s="25" t="s">
        <v>376</v>
      </c>
      <c r="G220" s="25" t="s">
        <v>66</v>
      </c>
      <c r="H220" s="22">
        <v>43</v>
      </c>
      <c r="I220" s="73"/>
      <c r="J220" s="8"/>
      <c r="K220" s="16"/>
    </row>
    <row r="221" spans="1:11" ht="60" x14ac:dyDescent="0.25">
      <c r="A221" s="73">
        <f t="shared" si="19"/>
        <v>200</v>
      </c>
      <c r="B221" s="25" t="s">
        <v>33</v>
      </c>
      <c r="C221" s="16" t="s">
        <v>21</v>
      </c>
      <c r="D221" s="74">
        <f>D220</f>
        <v>363.41040000000004</v>
      </c>
      <c r="E221" s="75" t="s">
        <v>181</v>
      </c>
      <c r="F221" s="25" t="s">
        <v>376</v>
      </c>
      <c r="G221" s="25" t="s">
        <v>66</v>
      </c>
      <c r="H221" s="22">
        <v>43</v>
      </c>
      <c r="I221" s="73"/>
      <c r="J221" s="8"/>
      <c r="K221" s="16"/>
    </row>
    <row r="222" spans="1:11" ht="60" x14ac:dyDescent="0.25">
      <c r="A222" s="73">
        <f t="shared" si="19"/>
        <v>201</v>
      </c>
      <c r="B222" s="25" t="s">
        <v>160</v>
      </c>
      <c r="C222" s="16" t="s">
        <v>21</v>
      </c>
      <c r="D222" s="74">
        <f>D220</f>
        <v>363.41040000000004</v>
      </c>
      <c r="E222" s="75" t="s">
        <v>181</v>
      </c>
      <c r="F222" s="25" t="s">
        <v>376</v>
      </c>
      <c r="G222" s="25" t="s">
        <v>66</v>
      </c>
      <c r="H222" s="22">
        <v>43</v>
      </c>
      <c r="I222" s="73"/>
      <c r="J222" s="8"/>
      <c r="K222" s="16"/>
    </row>
    <row r="223" spans="1:11" ht="45" x14ac:dyDescent="0.25">
      <c r="A223" s="73">
        <f t="shared" si="19"/>
        <v>202</v>
      </c>
      <c r="B223" s="23" t="s">
        <v>431</v>
      </c>
      <c r="C223" s="16" t="s">
        <v>21</v>
      </c>
      <c r="D223" s="74">
        <f>D221*1.23</f>
        <v>446.99479200000002</v>
      </c>
      <c r="E223" s="75" t="s">
        <v>182</v>
      </c>
      <c r="F223" s="25" t="s">
        <v>376</v>
      </c>
      <c r="G223" s="25" t="s">
        <v>66</v>
      </c>
      <c r="H223" s="22">
        <v>43</v>
      </c>
      <c r="I223" s="28" t="s">
        <v>389</v>
      </c>
      <c r="J223" s="8"/>
      <c r="K223" s="16"/>
    </row>
    <row r="224" spans="1:11" x14ac:dyDescent="0.25">
      <c r="A224" s="95" t="s">
        <v>27</v>
      </c>
      <c r="B224" s="95"/>
      <c r="C224" s="95"/>
      <c r="D224" s="95"/>
      <c r="E224" s="95"/>
      <c r="F224" s="95"/>
      <c r="G224" s="95"/>
      <c r="H224" s="95"/>
      <c r="I224" s="95"/>
      <c r="J224" s="95"/>
      <c r="K224" s="95"/>
    </row>
    <row r="225" spans="1:11" ht="45" x14ac:dyDescent="0.25">
      <c r="A225" s="73">
        <f>A223+1</f>
        <v>203</v>
      </c>
      <c r="B225" s="23" t="s">
        <v>162</v>
      </c>
      <c r="C225" s="16" t="s">
        <v>21</v>
      </c>
      <c r="D225" s="74">
        <f>3.2*13.2*0.1</f>
        <v>4.2240000000000002</v>
      </c>
      <c r="E225" s="75" t="s">
        <v>183</v>
      </c>
      <c r="F225" s="25" t="s">
        <v>376</v>
      </c>
      <c r="G225" s="25" t="s">
        <v>66</v>
      </c>
      <c r="H225" s="22">
        <v>43</v>
      </c>
      <c r="I225" s="73"/>
      <c r="J225" s="8"/>
      <c r="K225" s="16"/>
    </row>
    <row r="226" spans="1:11" ht="45" x14ac:dyDescent="0.25">
      <c r="A226" s="73">
        <f t="shared" ref="A226:A239" si="20">A225+1</f>
        <v>204</v>
      </c>
      <c r="B226" s="23" t="s">
        <v>164</v>
      </c>
      <c r="C226" s="16" t="s">
        <v>21</v>
      </c>
      <c r="D226" s="74">
        <f>D225</f>
        <v>4.2240000000000002</v>
      </c>
      <c r="E226" s="75" t="s">
        <v>183</v>
      </c>
      <c r="F226" s="25" t="s">
        <v>376</v>
      </c>
      <c r="G226" s="25" t="s">
        <v>66</v>
      </c>
      <c r="H226" s="22">
        <v>43</v>
      </c>
      <c r="I226" s="73"/>
      <c r="J226" s="8"/>
      <c r="K226" s="16"/>
    </row>
    <row r="227" spans="1:11" ht="45" x14ac:dyDescent="0.25">
      <c r="A227" s="73">
        <f t="shared" si="20"/>
        <v>205</v>
      </c>
      <c r="B227" s="23" t="s">
        <v>28</v>
      </c>
      <c r="C227" s="16" t="s">
        <v>6</v>
      </c>
      <c r="D227" s="111">
        <f>D228+D229+D230</f>
        <v>1.165783</v>
      </c>
      <c r="E227" s="110" t="s">
        <v>576</v>
      </c>
      <c r="F227" s="25" t="s">
        <v>376</v>
      </c>
      <c r="G227" s="25" t="s">
        <v>66</v>
      </c>
      <c r="H227" s="22">
        <v>43</v>
      </c>
      <c r="I227" s="73"/>
      <c r="J227" s="8"/>
      <c r="K227" s="16"/>
    </row>
    <row r="228" spans="1:11" ht="45" x14ac:dyDescent="0.25">
      <c r="A228" s="73">
        <f t="shared" si="20"/>
        <v>206</v>
      </c>
      <c r="B228" s="23" t="s">
        <v>32</v>
      </c>
      <c r="C228" s="16" t="s">
        <v>6</v>
      </c>
      <c r="D228" s="76">
        <f>0.888*(13.51*16*2+2.95*66*2+1.89*148)/1000</f>
        <v>0.97807872000000007</v>
      </c>
      <c r="E228" s="75" t="s">
        <v>184</v>
      </c>
      <c r="F228" s="25" t="s">
        <v>376</v>
      </c>
      <c r="G228" s="25" t="s">
        <v>66</v>
      </c>
      <c r="H228" s="22">
        <v>43</v>
      </c>
      <c r="I228" s="73"/>
      <c r="J228" s="8"/>
      <c r="K228" s="16"/>
    </row>
    <row r="229" spans="1:11" ht="45" x14ac:dyDescent="0.25">
      <c r="A229" s="73">
        <f t="shared" si="20"/>
        <v>207</v>
      </c>
      <c r="B229" s="23" t="s">
        <v>185</v>
      </c>
      <c r="C229" s="16" t="s">
        <v>6</v>
      </c>
      <c r="D229" s="76">
        <f>1.578*2*12/1000</f>
        <v>3.7872000000000003E-2</v>
      </c>
      <c r="E229" s="75" t="s">
        <v>186</v>
      </c>
      <c r="F229" s="25" t="s">
        <v>376</v>
      </c>
      <c r="G229" s="25" t="s">
        <v>66</v>
      </c>
      <c r="H229" s="22">
        <v>43</v>
      </c>
      <c r="I229" s="73"/>
      <c r="J229" s="8"/>
      <c r="K229" s="16"/>
    </row>
    <row r="230" spans="1:11" ht="45" x14ac:dyDescent="0.25">
      <c r="A230" s="73">
        <f t="shared" si="20"/>
        <v>208</v>
      </c>
      <c r="B230" s="23" t="s">
        <v>165</v>
      </c>
      <c r="C230" s="16" t="s">
        <v>6</v>
      </c>
      <c r="D230" s="111">
        <f>0.617*(2.95*52+0.43*208)/1000</f>
        <v>0.14983227999999998</v>
      </c>
      <c r="E230" s="110" t="s">
        <v>575</v>
      </c>
      <c r="F230" s="25" t="s">
        <v>376</v>
      </c>
      <c r="G230" s="25" t="s">
        <v>66</v>
      </c>
      <c r="H230" s="22">
        <v>43</v>
      </c>
      <c r="I230" s="73"/>
      <c r="J230" s="8"/>
      <c r="K230" s="16"/>
    </row>
    <row r="231" spans="1:11" ht="45" x14ac:dyDescent="0.25">
      <c r="A231" s="73">
        <f t="shared" si="20"/>
        <v>209</v>
      </c>
      <c r="B231" s="23" t="s">
        <v>48</v>
      </c>
      <c r="C231" s="16" t="s">
        <v>21</v>
      </c>
      <c r="D231" s="74">
        <f>3*13*0.4</f>
        <v>15.600000000000001</v>
      </c>
      <c r="E231" s="75" t="s">
        <v>187</v>
      </c>
      <c r="F231" s="25" t="s">
        <v>376</v>
      </c>
      <c r="G231" s="25" t="s">
        <v>66</v>
      </c>
      <c r="H231" s="22">
        <v>43</v>
      </c>
      <c r="I231" s="73"/>
      <c r="J231" s="8"/>
      <c r="K231" s="16"/>
    </row>
    <row r="232" spans="1:11" ht="45" x14ac:dyDescent="0.25">
      <c r="A232" s="73">
        <f t="shared" si="20"/>
        <v>210</v>
      </c>
      <c r="B232" s="23" t="s">
        <v>168</v>
      </c>
      <c r="C232" s="16" t="s">
        <v>21</v>
      </c>
      <c r="D232" s="74">
        <f>D231</f>
        <v>15.600000000000001</v>
      </c>
      <c r="E232" s="75" t="s">
        <v>187</v>
      </c>
      <c r="F232" s="25" t="s">
        <v>376</v>
      </c>
      <c r="G232" s="25" t="s">
        <v>66</v>
      </c>
      <c r="H232" s="22">
        <v>43</v>
      </c>
      <c r="I232" s="73"/>
      <c r="J232" s="8"/>
      <c r="K232" s="16"/>
    </row>
    <row r="233" spans="1:11" ht="45" x14ac:dyDescent="0.25">
      <c r="A233" s="73">
        <f t="shared" si="20"/>
        <v>211</v>
      </c>
      <c r="B233" s="23" t="s">
        <v>188</v>
      </c>
      <c r="C233" s="16" t="s">
        <v>21</v>
      </c>
      <c r="D233" s="74">
        <f>13*3*0.1</f>
        <v>3.9000000000000004</v>
      </c>
      <c r="E233" s="75" t="s">
        <v>189</v>
      </c>
      <c r="F233" s="25" t="s">
        <v>376</v>
      </c>
      <c r="G233" s="25" t="s">
        <v>66</v>
      </c>
      <c r="H233" s="22">
        <v>43</v>
      </c>
      <c r="I233" s="73"/>
      <c r="J233" s="8"/>
      <c r="K233" s="16"/>
    </row>
    <row r="234" spans="1:11" ht="45" x14ac:dyDescent="0.25">
      <c r="A234" s="73">
        <f t="shared" si="20"/>
        <v>212</v>
      </c>
      <c r="B234" s="23" t="s">
        <v>431</v>
      </c>
      <c r="C234" s="16" t="s">
        <v>21</v>
      </c>
      <c r="D234" s="74">
        <f>D233*1.23</f>
        <v>4.7970000000000006</v>
      </c>
      <c r="E234" s="78" t="s">
        <v>388</v>
      </c>
      <c r="F234" s="25" t="s">
        <v>376</v>
      </c>
      <c r="G234" s="25" t="s">
        <v>66</v>
      </c>
      <c r="H234" s="22">
        <v>43</v>
      </c>
      <c r="I234" s="28" t="s">
        <v>389</v>
      </c>
      <c r="J234" s="8"/>
      <c r="K234" s="16"/>
    </row>
    <row r="235" spans="1:11" ht="45" x14ac:dyDescent="0.25">
      <c r="A235" s="73">
        <f t="shared" si="20"/>
        <v>213</v>
      </c>
      <c r="B235" s="23" t="s">
        <v>527</v>
      </c>
      <c r="C235" s="16" t="s">
        <v>125</v>
      </c>
      <c r="D235" s="80">
        <v>6</v>
      </c>
      <c r="E235" s="78"/>
      <c r="F235" s="25" t="s">
        <v>376</v>
      </c>
      <c r="G235" s="25" t="s">
        <v>66</v>
      </c>
      <c r="H235" s="22">
        <v>43</v>
      </c>
      <c r="I235" s="28"/>
      <c r="J235" s="8"/>
      <c r="K235" s="16"/>
    </row>
    <row r="236" spans="1:11" ht="45" x14ac:dyDescent="0.25">
      <c r="A236" s="73">
        <f t="shared" si="20"/>
        <v>214</v>
      </c>
      <c r="B236" s="49" t="s">
        <v>574</v>
      </c>
      <c r="C236" s="16" t="s">
        <v>125</v>
      </c>
      <c r="D236" s="80">
        <v>6</v>
      </c>
      <c r="E236" s="78"/>
      <c r="F236" s="25" t="s">
        <v>376</v>
      </c>
      <c r="G236" s="25" t="s">
        <v>66</v>
      </c>
      <c r="H236" s="22">
        <v>43</v>
      </c>
      <c r="I236" s="28"/>
      <c r="J236" s="8"/>
      <c r="K236" s="16"/>
    </row>
    <row r="237" spans="1:11" ht="45" x14ac:dyDescent="0.25">
      <c r="A237" s="73">
        <f t="shared" si="20"/>
        <v>215</v>
      </c>
      <c r="B237" s="23" t="s">
        <v>169</v>
      </c>
      <c r="C237" s="16" t="s">
        <v>30</v>
      </c>
      <c r="D237" s="74">
        <f>13*3+32*0.4</f>
        <v>51.8</v>
      </c>
      <c r="E237" s="75" t="s">
        <v>190</v>
      </c>
      <c r="F237" s="25" t="s">
        <v>376</v>
      </c>
      <c r="G237" s="25" t="s">
        <v>66</v>
      </c>
      <c r="H237" s="22">
        <v>43</v>
      </c>
      <c r="I237" s="73"/>
      <c r="J237" s="8"/>
      <c r="K237" s="16"/>
    </row>
    <row r="238" spans="1:11" ht="45" x14ac:dyDescent="0.25">
      <c r="A238" s="73">
        <f t="shared" si="20"/>
        <v>216</v>
      </c>
      <c r="B238" s="23" t="s">
        <v>42</v>
      </c>
      <c r="C238" s="16" t="s">
        <v>31</v>
      </c>
      <c r="D238" s="74">
        <f>D237*5</f>
        <v>259</v>
      </c>
      <c r="E238" s="75" t="s">
        <v>191</v>
      </c>
      <c r="F238" s="25" t="s">
        <v>376</v>
      </c>
      <c r="G238" s="25" t="s">
        <v>66</v>
      </c>
      <c r="H238" s="22">
        <v>43</v>
      </c>
      <c r="I238" s="73"/>
      <c r="J238" s="8"/>
      <c r="K238" s="16"/>
    </row>
    <row r="239" spans="1:11" ht="45" x14ac:dyDescent="0.25">
      <c r="A239" s="73">
        <f t="shared" si="20"/>
        <v>217</v>
      </c>
      <c r="B239" s="23" t="s">
        <v>43</v>
      </c>
      <c r="C239" s="16" t="s">
        <v>31</v>
      </c>
      <c r="D239" s="74">
        <f>D237*0.16</f>
        <v>8.2880000000000003</v>
      </c>
      <c r="E239" s="75" t="s">
        <v>192</v>
      </c>
      <c r="F239" s="25" t="s">
        <v>376</v>
      </c>
      <c r="G239" s="25" t="s">
        <v>66</v>
      </c>
      <c r="H239" s="22">
        <v>43</v>
      </c>
      <c r="I239" s="73"/>
      <c r="J239" s="8"/>
      <c r="K239" s="16"/>
    </row>
    <row r="240" spans="1:11" x14ac:dyDescent="0.25">
      <c r="A240" s="95" t="s">
        <v>377</v>
      </c>
      <c r="B240" s="95"/>
      <c r="C240" s="95"/>
      <c r="D240" s="95"/>
      <c r="E240" s="95"/>
      <c r="F240" s="95"/>
      <c r="G240" s="95"/>
      <c r="H240" s="95"/>
      <c r="I240" s="95"/>
      <c r="J240" s="95"/>
      <c r="K240" s="95"/>
    </row>
    <row r="241" spans="1:11" x14ac:dyDescent="0.25">
      <c r="A241" s="95" t="s">
        <v>26</v>
      </c>
      <c r="B241" s="95"/>
      <c r="C241" s="95"/>
      <c r="D241" s="95"/>
      <c r="E241" s="95"/>
      <c r="F241" s="95"/>
      <c r="G241" s="95"/>
      <c r="H241" s="95"/>
      <c r="I241" s="95"/>
      <c r="J241" s="95"/>
      <c r="K241" s="95"/>
    </row>
    <row r="242" spans="1:11" ht="90" x14ac:dyDescent="0.25">
      <c r="A242" s="73">
        <f>A239+1</f>
        <v>218</v>
      </c>
      <c r="B242" s="35" t="s">
        <v>45</v>
      </c>
      <c r="C242" s="26" t="s">
        <v>21</v>
      </c>
      <c r="D242" s="74">
        <f>(25.76+142.67)/2*4.57</f>
        <v>384.86255</v>
      </c>
      <c r="E242" s="75" t="s">
        <v>193</v>
      </c>
      <c r="F242" s="25" t="s">
        <v>378</v>
      </c>
      <c r="G242" s="25" t="s">
        <v>66</v>
      </c>
      <c r="H242" s="22">
        <v>44</v>
      </c>
      <c r="I242" s="36" t="s">
        <v>59</v>
      </c>
      <c r="J242" s="8"/>
      <c r="K242" s="16"/>
    </row>
    <row r="243" spans="1:11" ht="60" x14ac:dyDescent="0.25">
      <c r="A243" s="73">
        <f t="shared" ref="A243:A249" si="21">A242+1</f>
        <v>219</v>
      </c>
      <c r="B243" s="35" t="s">
        <v>398</v>
      </c>
      <c r="C243" s="16" t="s">
        <v>6</v>
      </c>
      <c r="D243" s="74">
        <f>(D242-D244)*1.96</f>
        <v>508.77199799999994</v>
      </c>
      <c r="E243" s="75" t="s">
        <v>194</v>
      </c>
      <c r="F243" s="25" t="s">
        <v>378</v>
      </c>
      <c r="G243" s="25" t="s">
        <v>66</v>
      </c>
      <c r="H243" s="22">
        <v>44</v>
      </c>
      <c r="I243" s="8"/>
      <c r="J243" s="8"/>
      <c r="K243" s="16"/>
    </row>
    <row r="244" spans="1:11" ht="45" x14ac:dyDescent="0.25">
      <c r="A244" s="73">
        <f t="shared" si="21"/>
        <v>220</v>
      </c>
      <c r="B244" s="25" t="s">
        <v>46</v>
      </c>
      <c r="C244" s="16" t="s">
        <v>21</v>
      </c>
      <c r="D244" s="74">
        <f>(109.06+142.67)/2*1-0.58*1</f>
        <v>125.285</v>
      </c>
      <c r="E244" s="75" t="s">
        <v>195</v>
      </c>
      <c r="F244" s="25" t="s">
        <v>378</v>
      </c>
      <c r="G244" s="25" t="s">
        <v>66</v>
      </c>
      <c r="H244" s="22">
        <v>44</v>
      </c>
      <c r="I244" s="73"/>
      <c r="J244" s="8"/>
      <c r="K244" s="16"/>
    </row>
    <row r="245" spans="1:11" ht="45" x14ac:dyDescent="0.25">
      <c r="A245" s="73">
        <f t="shared" si="21"/>
        <v>221</v>
      </c>
      <c r="B245" s="25" t="s">
        <v>33</v>
      </c>
      <c r="C245" s="16" t="s">
        <v>21</v>
      </c>
      <c r="D245" s="74">
        <f>D244</f>
        <v>125.285</v>
      </c>
      <c r="E245" s="75" t="s">
        <v>195</v>
      </c>
      <c r="F245" s="25" t="s">
        <v>378</v>
      </c>
      <c r="G245" s="25" t="s">
        <v>66</v>
      </c>
      <c r="H245" s="22">
        <v>44</v>
      </c>
      <c r="I245" s="73"/>
      <c r="J245" s="8"/>
      <c r="K245" s="16"/>
    </row>
    <row r="246" spans="1:11" ht="45" x14ac:dyDescent="0.25">
      <c r="A246" s="73">
        <f t="shared" si="21"/>
        <v>222</v>
      </c>
      <c r="B246" s="25" t="s">
        <v>158</v>
      </c>
      <c r="C246" s="16" t="s">
        <v>21</v>
      </c>
      <c r="D246" s="74">
        <f>(25.76+109.06)/2*3.57-D251-D253-D255-2.6*3.6*2.5-0.49*2-0.25-0.58*0.52</f>
        <v>209.78210000000001</v>
      </c>
      <c r="E246" s="75" t="s">
        <v>196</v>
      </c>
      <c r="F246" s="25" t="s">
        <v>378</v>
      </c>
      <c r="G246" s="25" t="s">
        <v>66</v>
      </c>
      <c r="H246" s="22">
        <v>44</v>
      </c>
      <c r="I246" s="73"/>
      <c r="J246" s="8"/>
      <c r="K246" s="16"/>
    </row>
    <row r="247" spans="1:11" ht="45" x14ac:dyDescent="0.25">
      <c r="A247" s="73">
        <f t="shared" si="21"/>
        <v>223</v>
      </c>
      <c r="B247" s="25" t="s">
        <v>33</v>
      </c>
      <c r="C247" s="16" t="s">
        <v>21</v>
      </c>
      <c r="D247" s="74">
        <f>D246</f>
        <v>209.78210000000001</v>
      </c>
      <c r="E247" s="75" t="s">
        <v>196</v>
      </c>
      <c r="F247" s="25" t="s">
        <v>378</v>
      </c>
      <c r="G247" s="25" t="s">
        <v>66</v>
      </c>
      <c r="H247" s="22">
        <v>44</v>
      </c>
      <c r="I247" s="73"/>
      <c r="J247" s="8"/>
      <c r="K247" s="16"/>
    </row>
    <row r="248" spans="1:11" ht="45" x14ac:dyDescent="0.25">
      <c r="A248" s="73">
        <f t="shared" si="21"/>
        <v>224</v>
      </c>
      <c r="B248" s="25" t="s">
        <v>160</v>
      </c>
      <c r="C248" s="16" t="s">
        <v>21</v>
      </c>
      <c r="D248" s="74">
        <f>D246</f>
        <v>209.78210000000001</v>
      </c>
      <c r="E248" s="75" t="s">
        <v>196</v>
      </c>
      <c r="F248" s="25" t="s">
        <v>378</v>
      </c>
      <c r="G248" s="25" t="s">
        <v>66</v>
      </c>
      <c r="H248" s="22">
        <v>44</v>
      </c>
      <c r="I248" s="73"/>
      <c r="J248" s="8"/>
      <c r="K248" s="16"/>
    </row>
    <row r="249" spans="1:11" ht="45" x14ac:dyDescent="0.25">
      <c r="A249" s="73">
        <f t="shared" si="21"/>
        <v>225</v>
      </c>
      <c r="B249" s="23" t="s">
        <v>431</v>
      </c>
      <c r="C249" s="16" t="s">
        <v>21</v>
      </c>
      <c r="D249" s="74">
        <f>D246*1.23</f>
        <v>258.03198300000003</v>
      </c>
      <c r="E249" s="75" t="s">
        <v>197</v>
      </c>
      <c r="F249" s="25" t="s">
        <v>378</v>
      </c>
      <c r="G249" s="25" t="s">
        <v>66</v>
      </c>
      <c r="H249" s="22">
        <v>44</v>
      </c>
      <c r="I249" s="28" t="s">
        <v>389</v>
      </c>
      <c r="J249" s="8"/>
      <c r="K249" s="16"/>
    </row>
    <row r="250" spans="1:11" x14ac:dyDescent="0.25">
      <c r="A250" s="95" t="s">
        <v>27</v>
      </c>
      <c r="B250" s="95"/>
      <c r="C250" s="95"/>
      <c r="D250" s="95"/>
      <c r="E250" s="95"/>
      <c r="F250" s="95"/>
      <c r="G250" s="95"/>
      <c r="H250" s="95"/>
      <c r="I250" s="95"/>
      <c r="J250" s="95"/>
      <c r="K250" s="95"/>
    </row>
    <row r="251" spans="1:11" ht="45" x14ac:dyDescent="0.25">
      <c r="A251" s="73">
        <f>A249+1</f>
        <v>226</v>
      </c>
      <c r="B251" s="23" t="s">
        <v>198</v>
      </c>
      <c r="C251" s="16" t="s">
        <v>21</v>
      </c>
      <c r="D251" s="74">
        <f>(14.96+18.24)/2*0.2</f>
        <v>3.3200000000000003</v>
      </c>
      <c r="E251" s="75" t="s">
        <v>199</v>
      </c>
      <c r="F251" s="25" t="s">
        <v>378</v>
      </c>
      <c r="G251" s="25" t="s">
        <v>66</v>
      </c>
      <c r="H251" s="22">
        <v>44</v>
      </c>
      <c r="I251" s="73"/>
      <c r="J251" s="8"/>
      <c r="K251" s="16"/>
    </row>
    <row r="252" spans="1:11" ht="45" x14ac:dyDescent="0.25">
      <c r="A252" s="73">
        <f t="shared" ref="A252:A284" si="22">A251+1</f>
        <v>227</v>
      </c>
      <c r="B252" s="23" t="s">
        <v>200</v>
      </c>
      <c r="C252" s="16" t="s">
        <v>21</v>
      </c>
      <c r="D252" s="74">
        <f>D251*1.3</f>
        <v>4.3160000000000007</v>
      </c>
      <c r="E252" s="78" t="s">
        <v>390</v>
      </c>
      <c r="F252" s="25" t="s">
        <v>378</v>
      </c>
      <c r="G252" s="25" t="s">
        <v>66</v>
      </c>
      <c r="H252" s="22">
        <v>44</v>
      </c>
      <c r="I252" s="28" t="s">
        <v>391</v>
      </c>
      <c r="J252" s="8"/>
      <c r="K252" s="16"/>
    </row>
    <row r="253" spans="1:11" ht="45" x14ac:dyDescent="0.25">
      <c r="A253" s="73">
        <f t="shared" si="22"/>
        <v>228</v>
      </c>
      <c r="B253" s="23" t="s">
        <v>201</v>
      </c>
      <c r="C253" s="16" t="s">
        <v>21</v>
      </c>
      <c r="D253" s="74">
        <f>(13.44+14.96)/2*0.1</f>
        <v>1.42</v>
      </c>
      <c r="E253" s="75" t="s">
        <v>202</v>
      </c>
      <c r="F253" s="25" t="s">
        <v>378</v>
      </c>
      <c r="G253" s="25" t="s">
        <v>66</v>
      </c>
      <c r="H253" s="22">
        <v>44</v>
      </c>
      <c r="I253" s="73"/>
      <c r="J253" s="8"/>
      <c r="K253" s="16"/>
    </row>
    <row r="254" spans="1:11" ht="45" x14ac:dyDescent="0.25">
      <c r="A254" s="73">
        <f t="shared" si="22"/>
        <v>229</v>
      </c>
      <c r="B254" s="23" t="s">
        <v>431</v>
      </c>
      <c r="C254" s="16" t="s">
        <v>21</v>
      </c>
      <c r="D254" s="74">
        <f>D253*1.23</f>
        <v>1.7465999999999999</v>
      </c>
      <c r="E254" s="78" t="s">
        <v>392</v>
      </c>
      <c r="F254" s="25" t="s">
        <v>378</v>
      </c>
      <c r="G254" s="25" t="s">
        <v>66</v>
      </c>
      <c r="H254" s="22">
        <v>44</v>
      </c>
      <c r="I254" s="28" t="s">
        <v>389</v>
      </c>
      <c r="J254" s="8"/>
      <c r="K254" s="16"/>
    </row>
    <row r="255" spans="1:11" ht="45" x14ac:dyDescent="0.25">
      <c r="A255" s="73">
        <f t="shared" si="22"/>
        <v>230</v>
      </c>
      <c r="B255" s="23" t="s">
        <v>201</v>
      </c>
      <c r="C255" s="16" t="s">
        <v>21</v>
      </c>
      <c r="D255" s="74">
        <f>3*4*0.1</f>
        <v>1.2000000000000002</v>
      </c>
      <c r="E255" s="75" t="s">
        <v>203</v>
      </c>
      <c r="F255" s="25" t="s">
        <v>378</v>
      </c>
      <c r="G255" s="25" t="s">
        <v>66</v>
      </c>
      <c r="H255" s="22">
        <v>44</v>
      </c>
      <c r="I255" s="73"/>
      <c r="J255" s="8"/>
      <c r="K255" s="16"/>
    </row>
    <row r="256" spans="1:11" ht="45" x14ac:dyDescent="0.25">
      <c r="A256" s="73">
        <f t="shared" si="22"/>
        <v>231</v>
      </c>
      <c r="B256" s="23" t="s">
        <v>36</v>
      </c>
      <c r="C256" s="16" t="s">
        <v>21</v>
      </c>
      <c r="D256" s="74">
        <f>D255</f>
        <v>1.2000000000000002</v>
      </c>
      <c r="E256" s="75" t="s">
        <v>203</v>
      </c>
      <c r="F256" s="25" t="s">
        <v>378</v>
      </c>
      <c r="G256" s="25" t="s">
        <v>66</v>
      </c>
      <c r="H256" s="22">
        <v>44</v>
      </c>
      <c r="I256" s="73"/>
      <c r="J256" s="8"/>
      <c r="K256" s="16"/>
    </row>
    <row r="257" spans="1:11" ht="45" x14ac:dyDescent="0.25">
      <c r="A257" s="73">
        <f t="shared" si="22"/>
        <v>232</v>
      </c>
      <c r="B257" s="23" t="s">
        <v>204</v>
      </c>
      <c r="C257" s="16" t="s">
        <v>30</v>
      </c>
      <c r="D257" s="74">
        <f>3*4</f>
        <v>12</v>
      </c>
      <c r="E257" s="75" t="s">
        <v>205</v>
      </c>
      <c r="F257" s="25" t="s">
        <v>378</v>
      </c>
      <c r="G257" s="25" t="s">
        <v>66</v>
      </c>
      <c r="H257" s="22">
        <v>44</v>
      </c>
      <c r="I257" s="73"/>
      <c r="J257" s="8"/>
      <c r="K257" s="16"/>
    </row>
    <row r="258" spans="1:11" ht="45" x14ac:dyDescent="0.25">
      <c r="A258" s="73">
        <f t="shared" si="22"/>
        <v>233</v>
      </c>
      <c r="B258" s="23" t="s">
        <v>206</v>
      </c>
      <c r="C258" s="16" t="s">
        <v>30</v>
      </c>
      <c r="D258" s="74">
        <f>D257*1.15*2</f>
        <v>27.599999999999998</v>
      </c>
      <c r="E258" s="75" t="s">
        <v>207</v>
      </c>
      <c r="F258" s="25" t="s">
        <v>378</v>
      </c>
      <c r="G258" s="25" t="s">
        <v>66</v>
      </c>
      <c r="H258" s="22">
        <v>44</v>
      </c>
      <c r="I258" s="73"/>
      <c r="J258" s="8"/>
      <c r="K258" s="16"/>
    </row>
    <row r="259" spans="1:11" ht="45" x14ac:dyDescent="0.25">
      <c r="A259" s="73">
        <f t="shared" si="22"/>
        <v>234</v>
      </c>
      <c r="B259" s="23" t="s">
        <v>43</v>
      </c>
      <c r="C259" s="16" t="s">
        <v>31</v>
      </c>
      <c r="D259" s="74">
        <f>D257*0.16</f>
        <v>1.92</v>
      </c>
      <c r="E259" s="75" t="s">
        <v>208</v>
      </c>
      <c r="F259" s="25" t="s">
        <v>378</v>
      </c>
      <c r="G259" s="25" t="s">
        <v>66</v>
      </c>
      <c r="H259" s="22">
        <v>44</v>
      </c>
      <c r="I259" s="73"/>
      <c r="J259" s="8"/>
      <c r="K259" s="16"/>
    </row>
    <row r="260" spans="1:11" ht="45" x14ac:dyDescent="0.25">
      <c r="A260" s="73">
        <f t="shared" si="22"/>
        <v>235</v>
      </c>
      <c r="B260" s="23" t="s">
        <v>28</v>
      </c>
      <c r="C260" s="16" t="s">
        <v>6</v>
      </c>
      <c r="D260" s="76">
        <f>D261+D262</f>
        <v>0.28599817</v>
      </c>
      <c r="E260" s="75" t="s">
        <v>209</v>
      </c>
      <c r="F260" s="25" t="s">
        <v>378</v>
      </c>
      <c r="G260" s="25" t="s">
        <v>66</v>
      </c>
      <c r="H260" s="22">
        <v>44</v>
      </c>
      <c r="I260" s="73"/>
      <c r="J260" s="8"/>
      <c r="K260" s="16"/>
    </row>
    <row r="261" spans="1:11" ht="45" x14ac:dyDescent="0.25">
      <c r="A261" s="73">
        <f t="shared" si="22"/>
        <v>236</v>
      </c>
      <c r="B261" s="23" t="s">
        <v>32</v>
      </c>
      <c r="C261" s="16" t="s">
        <v>6</v>
      </c>
      <c r="D261" s="76">
        <f>0.888*(2.56*38+3.56*28+2.71*38)/1000</f>
        <v>0.26634671999999998</v>
      </c>
      <c r="E261" s="75" t="s">
        <v>210</v>
      </c>
      <c r="F261" s="25" t="s">
        <v>378</v>
      </c>
      <c r="G261" s="25" t="s">
        <v>66</v>
      </c>
      <c r="H261" s="22">
        <v>44</v>
      </c>
      <c r="I261" s="73"/>
      <c r="J261" s="8"/>
      <c r="K261" s="16"/>
    </row>
    <row r="262" spans="1:11" ht="45" x14ac:dyDescent="0.25">
      <c r="A262" s="73">
        <f t="shared" si="22"/>
        <v>237</v>
      </c>
      <c r="B262" s="23" t="s">
        <v>37</v>
      </c>
      <c r="C262" s="16" t="s">
        <v>6</v>
      </c>
      <c r="D262" s="76">
        <f>0.617*0.91*35/1000</f>
        <v>1.9651450000000001E-2</v>
      </c>
      <c r="E262" s="75" t="s">
        <v>211</v>
      </c>
      <c r="F262" s="25" t="s">
        <v>378</v>
      </c>
      <c r="G262" s="25" t="s">
        <v>66</v>
      </c>
      <c r="H262" s="22">
        <v>44</v>
      </c>
      <c r="I262" s="73"/>
      <c r="J262" s="8"/>
      <c r="K262" s="16"/>
    </row>
    <row r="263" spans="1:11" ht="45" x14ac:dyDescent="0.25">
      <c r="A263" s="73">
        <f t="shared" si="22"/>
        <v>238</v>
      </c>
      <c r="B263" s="23" t="s">
        <v>212</v>
      </c>
      <c r="C263" s="16" t="s">
        <v>112</v>
      </c>
      <c r="D263" s="74">
        <f>(2.3+3.3)*2</f>
        <v>11.2</v>
      </c>
      <c r="E263" s="75" t="s">
        <v>213</v>
      </c>
      <c r="F263" s="25" t="s">
        <v>378</v>
      </c>
      <c r="G263" s="25" t="s">
        <v>66</v>
      </c>
      <c r="H263" s="22">
        <v>44</v>
      </c>
      <c r="I263" s="73"/>
      <c r="J263" s="8"/>
      <c r="K263" s="16"/>
    </row>
    <row r="264" spans="1:11" ht="45" x14ac:dyDescent="0.25">
      <c r="A264" s="73">
        <f t="shared" si="22"/>
        <v>239</v>
      </c>
      <c r="B264" s="23" t="s">
        <v>214</v>
      </c>
      <c r="C264" s="16" t="s">
        <v>112</v>
      </c>
      <c r="D264" s="74">
        <f>D263</f>
        <v>11.2</v>
      </c>
      <c r="E264" s="75" t="s">
        <v>213</v>
      </c>
      <c r="F264" s="25" t="s">
        <v>378</v>
      </c>
      <c r="G264" s="25" t="s">
        <v>66</v>
      </c>
      <c r="H264" s="22">
        <v>44</v>
      </c>
      <c r="I264" s="73"/>
      <c r="J264" s="8"/>
      <c r="K264" s="16"/>
    </row>
    <row r="265" spans="1:11" ht="45" x14ac:dyDescent="0.25">
      <c r="A265" s="73">
        <f t="shared" si="22"/>
        <v>240</v>
      </c>
      <c r="B265" s="23" t="s">
        <v>38</v>
      </c>
      <c r="C265" s="16" t="s">
        <v>21</v>
      </c>
      <c r="D265" s="74">
        <f>2.6*3.6*0.3</f>
        <v>2.8080000000000003</v>
      </c>
      <c r="E265" s="75" t="s">
        <v>215</v>
      </c>
      <c r="F265" s="25" t="s">
        <v>378</v>
      </c>
      <c r="G265" s="25" t="s">
        <v>66</v>
      </c>
      <c r="H265" s="22">
        <v>44</v>
      </c>
      <c r="I265" s="73"/>
      <c r="J265" s="8"/>
      <c r="K265" s="16"/>
    </row>
    <row r="266" spans="1:11" ht="45" x14ac:dyDescent="0.25">
      <c r="A266" s="73">
        <f t="shared" si="22"/>
        <v>241</v>
      </c>
      <c r="B266" s="23" t="s">
        <v>216</v>
      </c>
      <c r="C266" s="16" t="s">
        <v>21</v>
      </c>
      <c r="D266" s="74">
        <f>D265</f>
        <v>2.8080000000000003</v>
      </c>
      <c r="E266" s="75" t="s">
        <v>215</v>
      </c>
      <c r="F266" s="25" t="s">
        <v>378</v>
      </c>
      <c r="G266" s="25" t="s">
        <v>66</v>
      </c>
      <c r="H266" s="22">
        <v>44</v>
      </c>
      <c r="I266" s="73"/>
      <c r="J266" s="8"/>
      <c r="K266" s="16"/>
    </row>
    <row r="267" spans="1:11" ht="45" x14ac:dyDescent="0.25">
      <c r="A267" s="73">
        <f t="shared" si="22"/>
        <v>242</v>
      </c>
      <c r="B267" s="23" t="s">
        <v>217</v>
      </c>
      <c r="C267" s="16" t="s">
        <v>6</v>
      </c>
      <c r="D267" s="76">
        <f>D268+D269</f>
        <v>0.70552596000000012</v>
      </c>
      <c r="E267" s="79" t="s">
        <v>484</v>
      </c>
      <c r="F267" s="25" t="s">
        <v>378</v>
      </c>
      <c r="G267" s="25" t="s">
        <v>66</v>
      </c>
      <c r="H267" s="22">
        <v>44</v>
      </c>
      <c r="I267" s="73"/>
      <c r="J267" s="8"/>
      <c r="K267" s="16"/>
    </row>
    <row r="268" spans="1:11" ht="45" x14ac:dyDescent="0.25">
      <c r="A268" s="73">
        <f t="shared" si="22"/>
        <v>243</v>
      </c>
      <c r="B268" s="23" t="s">
        <v>32</v>
      </c>
      <c r="C268" s="16" t="s">
        <v>6</v>
      </c>
      <c r="D268" s="76">
        <f>0.888*(2.56*44+3.56*44+2.46*116+2.71*50+2.42*32)/1000</f>
        <v>0.68161104000000017</v>
      </c>
      <c r="E268" s="79" t="s">
        <v>483</v>
      </c>
      <c r="F268" s="25" t="s">
        <v>378</v>
      </c>
      <c r="G268" s="25" t="s">
        <v>66</v>
      </c>
      <c r="H268" s="22">
        <v>44</v>
      </c>
      <c r="I268" s="73"/>
      <c r="J268" s="8"/>
      <c r="K268" s="16"/>
    </row>
    <row r="269" spans="1:11" ht="45" x14ac:dyDescent="0.25">
      <c r="A269" s="73">
        <f t="shared" si="22"/>
        <v>244</v>
      </c>
      <c r="B269" s="23" t="s">
        <v>37</v>
      </c>
      <c r="C269" s="16" t="s">
        <v>6</v>
      </c>
      <c r="D269" s="76">
        <f>0.617*0.38*102/1000</f>
        <v>2.3914919999999999E-2</v>
      </c>
      <c r="E269" s="75" t="s">
        <v>218</v>
      </c>
      <c r="F269" s="25" t="s">
        <v>378</v>
      </c>
      <c r="G269" s="25" t="s">
        <v>66</v>
      </c>
      <c r="H269" s="22">
        <v>44</v>
      </c>
      <c r="I269" s="73"/>
      <c r="J269" s="8"/>
      <c r="K269" s="16"/>
    </row>
    <row r="270" spans="1:11" ht="45" x14ac:dyDescent="0.25">
      <c r="A270" s="73">
        <f t="shared" si="22"/>
        <v>245</v>
      </c>
      <c r="B270" s="23" t="s">
        <v>485</v>
      </c>
      <c r="C270" s="16" t="s">
        <v>6</v>
      </c>
      <c r="D270" s="74">
        <f>(171.3*2+10.4)/1000</f>
        <v>0.35299999999999998</v>
      </c>
      <c r="E270" s="79" t="s">
        <v>487</v>
      </c>
      <c r="F270" s="25" t="s">
        <v>378</v>
      </c>
      <c r="G270" s="25" t="s">
        <v>66</v>
      </c>
      <c r="H270" s="22">
        <v>44</v>
      </c>
      <c r="I270" s="73"/>
      <c r="J270" s="8"/>
      <c r="K270" s="16"/>
    </row>
    <row r="271" spans="1:11" ht="45" x14ac:dyDescent="0.25">
      <c r="A271" s="73">
        <f t="shared" si="22"/>
        <v>246</v>
      </c>
      <c r="B271" s="23" t="s">
        <v>482</v>
      </c>
      <c r="C271" s="16" t="s">
        <v>125</v>
      </c>
      <c r="D271" s="80">
        <v>2</v>
      </c>
      <c r="E271" s="75"/>
      <c r="F271" s="25" t="s">
        <v>378</v>
      </c>
      <c r="G271" s="25" t="s">
        <v>66</v>
      </c>
      <c r="H271" s="22">
        <v>44</v>
      </c>
      <c r="I271" s="73"/>
      <c r="J271" s="8"/>
      <c r="K271" s="16"/>
    </row>
    <row r="272" spans="1:11" ht="45" x14ac:dyDescent="0.25">
      <c r="A272" s="73">
        <f t="shared" si="22"/>
        <v>247</v>
      </c>
      <c r="B272" s="23" t="s">
        <v>486</v>
      </c>
      <c r="C272" s="16" t="s">
        <v>125</v>
      </c>
      <c r="D272" s="80">
        <v>1</v>
      </c>
      <c r="E272" s="75"/>
      <c r="F272" s="25" t="s">
        <v>380</v>
      </c>
      <c r="G272" s="25" t="s">
        <v>66</v>
      </c>
      <c r="H272" s="22">
        <v>45</v>
      </c>
      <c r="I272" s="73"/>
      <c r="J272" s="8"/>
      <c r="K272" s="16"/>
    </row>
    <row r="273" spans="1:11" ht="45" x14ac:dyDescent="0.25">
      <c r="A273" s="73">
        <f t="shared" si="22"/>
        <v>248</v>
      </c>
      <c r="B273" s="23" t="s">
        <v>219</v>
      </c>
      <c r="C273" s="16" t="s">
        <v>21</v>
      </c>
      <c r="D273" s="74">
        <f>3.36*2.2-0.71^2*3.14*0.3*2</f>
        <v>6.4422756000000003</v>
      </c>
      <c r="E273" s="75" t="s">
        <v>220</v>
      </c>
      <c r="F273" s="25" t="s">
        <v>378</v>
      </c>
      <c r="G273" s="25" t="s">
        <v>66</v>
      </c>
      <c r="H273" s="22">
        <v>44</v>
      </c>
      <c r="I273" s="73"/>
      <c r="J273" s="8"/>
      <c r="K273" s="16"/>
    </row>
    <row r="274" spans="1:11" ht="45" x14ac:dyDescent="0.25">
      <c r="A274" s="73">
        <f t="shared" si="22"/>
        <v>249</v>
      </c>
      <c r="B274" s="23" t="s">
        <v>216</v>
      </c>
      <c r="C274" s="16" t="s">
        <v>21</v>
      </c>
      <c r="D274" s="74">
        <f>D273</f>
        <v>6.4422756000000003</v>
      </c>
      <c r="E274" s="75" t="s">
        <v>220</v>
      </c>
      <c r="F274" s="25" t="s">
        <v>378</v>
      </c>
      <c r="G274" s="25" t="s">
        <v>66</v>
      </c>
      <c r="H274" s="22">
        <v>44</v>
      </c>
      <c r="I274" s="73"/>
      <c r="J274" s="8"/>
      <c r="K274" s="16"/>
    </row>
    <row r="275" spans="1:11" ht="45" x14ac:dyDescent="0.25">
      <c r="A275" s="73">
        <f t="shared" si="22"/>
        <v>250</v>
      </c>
      <c r="B275" s="23" t="s">
        <v>221</v>
      </c>
      <c r="C275" s="16" t="s">
        <v>30</v>
      </c>
      <c r="D275" s="74">
        <f>(2+3)*2*2.2+2*3-0.71^2*3.14*2</f>
        <v>24.834251999999999</v>
      </c>
      <c r="E275" s="75" t="s">
        <v>222</v>
      </c>
      <c r="F275" s="25" t="s">
        <v>378</v>
      </c>
      <c r="G275" s="25" t="s">
        <v>66</v>
      </c>
      <c r="H275" s="22">
        <v>44</v>
      </c>
      <c r="I275" s="73"/>
      <c r="J275" s="8"/>
      <c r="K275" s="16"/>
    </row>
    <row r="276" spans="1:11" ht="90" x14ac:dyDescent="0.25">
      <c r="A276" s="73">
        <f t="shared" si="22"/>
        <v>251</v>
      </c>
      <c r="B276" s="23" t="s">
        <v>223</v>
      </c>
      <c r="C276" s="16" t="s">
        <v>31</v>
      </c>
      <c r="D276" s="74">
        <f>D275*3.5</f>
        <v>86.919882000000001</v>
      </c>
      <c r="E276" s="75" t="s">
        <v>224</v>
      </c>
      <c r="F276" s="25" t="s">
        <v>378</v>
      </c>
      <c r="G276" s="25" t="s">
        <v>66</v>
      </c>
      <c r="H276" s="22">
        <v>44</v>
      </c>
      <c r="I276" s="73"/>
      <c r="J276" s="8"/>
      <c r="K276" s="16"/>
    </row>
    <row r="277" spans="1:11" ht="45" x14ac:dyDescent="0.25">
      <c r="A277" s="73">
        <f t="shared" si="22"/>
        <v>252</v>
      </c>
      <c r="B277" s="23" t="s">
        <v>225</v>
      </c>
      <c r="C277" s="16" t="s">
        <v>31</v>
      </c>
      <c r="D277" s="74">
        <f>D275*0.2</f>
        <v>4.9668504000000002</v>
      </c>
      <c r="E277" s="75" t="s">
        <v>226</v>
      </c>
      <c r="F277" s="25" t="s">
        <v>378</v>
      </c>
      <c r="G277" s="25" t="s">
        <v>66</v>
      </c>
      <c r="H277" s="22">
        <v>44</v>
      </c>
      <c r="I277" s="73"/>
      <c r="J277" s="8"/>
      <c r="K277" s="16"/>
    </row>
    <row r="278" spans="1:11" ht="45" x14ac:dyDescent="0.25">
      <c r="A278" s="73">
        <f t="shared" si="22"/>
        <v>253</v>
      </c>
      <c r="B278" s="23" t="s">
        <v>227</v>
      </c>
      <c r="C278" s="16" t="s">
        <v>125</v>
      </c>
      <c r="D278" s="80">
        <v>2</v>
      </c>
      <c r="E278" s="75"/>
      <c r="F278" s="25" t="s">
        <v>378</v>
      </c>
      <c r="G278" s="25" t="s">
        <v>66</v>
      </c>
      <c r="H278" s="22">
        <v>44</v>
      </c>
      <c r="I278" s="73"/>
      <c r="J278" s="8"/>
      <c r="K278" s="16"/>
    </row>
    <row r="279" spans="1:11" ht="45" x14ac:dyDescent="0.25">
      <c r="A279" s="73">
        <f t="shared" si="22"/>
        <v>254</v>
      </c>
      <c r="B279" s="23" t="s">
        <v>228</v>
      </c>
      <c r="C279" s="16" t="s">
        <v>6</v>
      </c>
      <c r="D279" s="76">
        <f>23.52*D278/1000</f>
        <v>4.7039999999999998E-2</v>
      </c>
      <c r="E279" s="75" t="s">
        <v>229</v>
      </c>
      <c r="F279" s="25" t="s">
        <v>378</v>
      </c>
      <c r="G279" s="25" t="s">
        <v>66</v>
      </c>
      <c r="H279" s="22">
        <v>44</v>
      </c>
      <c r="I279" s="73"/>
      <c r="J279" s="8"/>
      <c r="K279" s="16"/>
    </row>
    <row r="280" spans="1:11" ht="45" x14ac:dyDescent="0.25">
      <c r="A280" s="73">
        <f t="shared" si="22"/>
        <v>255</v>
      </c>
      <c r="B280" s="23" t="s">
        <v>230</v>
      </c>
      <c r="C280" s="16" t="s">
        <v>6</v>
      </c>
      <c r="D280" s="76">
        <f>3.77*0.15*8*D278/1000</f>
        <v>9.0480000000000005E-3</v>
      </c>
      <c r="E280" s="75" t="s">
        <v>231</v>
      </c>
      <c r="F280" s="25" t="s">
        <v>378</v>
      </c>
      <c r="G280" s="25" t="s">
        <v>66</v>
      </c>
      <c r="H280" s="22">
        <v>44</v>
      </c>
      <c r="I280" s="73"/>
      <c r="J280" s="8"/>
      <c r="K280" s="16"/>
    </row>
    <row r="281" spans="1:11" ht="45" x14ac:dyDescent="0.25">
      <c r="A281" s="73">
        <f t="shared" si="22"/>
        <v>256</v>
      </c>
      <c r="B281" s="23" t="s">
        <v>232</v>
      </c>
      <c r="C281" s="16" t="s">
        <v>30</v>
      </c>
      <c r="D281" s="74">
        <f>((0.2*0.15+0.5*2)*8+(0.2*2.1+0.5*2)*2+0.06*0.485*7)*D278</f>
        <v>22.567399999999999</v>
      </c>
      <c r="E281" s="75" t="s">
        <v>233</v>
      </c>
      <c r="F281" s="25" t="s">
        <v>378</v>
      </c>
      <c r="G281" s="25" t="s">
        <v>66</v>
      </c>
      <c r="H281" s="22">
        <v>44</v>
      </c>
      <c r="I281" s="73"/>
      <c r="J281" s="8"/>
      <c r="K281" s="16"/>
    </row>
    <row r="282" spans="1:11" ht="45" x14ac:dyDescent="0.25">
      <c r="A282" s="73">
        <f t="shared" si="22"/>
        <v>257</v>
      </c>
      <c r="B282" s="23" t="s">
        <v>234</v>
      </c>
      <c r="C282" s="16" t="s">
        <v>31</v>
      </c>
      <c r="D282" s="74">
        <f>D281*0.15*2</f>
        <v>6.7702199999999992</v>
      </c>
      <c r="E282" s="75" t="s">
        <v>235</v>
      </c>
      <c r="F282" s="25" t="s">
        <v>378</v>
      </c>
      <c r="G282" s="25" t="s">
        <v>66</v>
      </c>
      <c r="H282" s="22">
        <v>44</v>
      </c>
      <c r="I282" s="73"/>
      <c r="J282" s="8"/>
      <c r="K282" s="16"/>
    </row>
    <row r="283" spans="1:11" ht="45" x14ac:dyDescent="0.25">
      <c r="A283" s="73">
        <f t="shared" si="22"/>
        <v>258</v>
      </c>
      <c r="B283" s="23" t="s">
        <v>236</v>
      </c>
      <c r="C283" s="16" t="s">
        <v>31</v>
      </c>
      <c r="D283" s="74">
        <f>D281*0.1</f>
        <v>2.2567400000000002</v>
      </c>
      <c r="E283" s="75" t="s">
        <v>237</v>
      </c>
      <c r="F283" s="25" t="s">
        <v>378</v>
      </c>
      <c r="G283" s="25" t="s">
        <v>66</v>
      </c>
      <c r="H283" s="22">
        <v>44</v>
      </c>
      <c r="I283" s="73"/>
      <c r="J283" s="8"/>
      <c r="K283" s="16"/>
    </row>
    <row r="284" spans="1:11" ht="45" x14ac:dyDescent="0.25">
      <c r="A284" s="73">
        <f t="shared" si="22"/>
        <v>259</v>
      </c>
      <c r="B284" s="23" t="s">
        <v>238</v>
      </c>
      <c r="C284" s="16" t="s">
        <v>21</v>
      </c>
      <c r="D284" s="74">
        <f>D285+D286</f>
        <v>1.23</v>
      </c>
      <c r="E284" s="75" t="s">
        <v>239</v>
      </c>
      <c r="F284" s="25" t="s">
        <v>378</v>
      </c>
      <c r="G284" s="25" t="s">
        <v>66</v>
      </c>
      <c r="H284" s="22">
        <v>44</v>
      </c>
      <c r="I284" s="73"/>
      <c r="J284" s="8"/>
      <c r="K284" s="16"/>
    </row>
    <row r="285" spans="1:11" ht="45" x14ac:dyDescent="0.25">
      <c r="A285" s="73">
        <f t="shared" ref="A285:A306" si="23">A284+1</f>
        <v>260</v>
      </c>
      <c r="B285" s="23" t="s">
        <v>240</v>
      </c>
      <c r="C285" s="16" t="s">
        <v>21</v>
      </c>
      <c r="D285" s="74">
        <f>0.49*2</f>
        <v>0.98</v>
      </c>
      <c r="E285" s="75" t="s">
        <v>241</v>
      </c>
      <c r="F285" s="25" t="s">
        <v>378</v>
      </c>
      <c r="G285" s="25" t="s">
        <v>66</v>
      </c>
      <c r="H285" s="22">
        <v>44</v>
      </c>
      <c r="I285" s="81" t="s">
        <v>242</v>
      </c>
      <c r="J285" s="8"/>
      <c r="K285" s="16"/>
    </row>
    <row r="286" spans="1:11" ht="45" x14ac:dyDescent="0.25">
      <c r="A286" s="73">
        <f t="shared" si="23"/>
        <v>261</v>
      </c>
      <c r="B286" s="23" t="s">
        <v>243</v>
      </c>
      <c r="C286" s="16" t="s">
        <v>21</v>
      </c>
      <c r="D286" s="74">
        <v>0.25</v>
      </c>
      <c r="E286" s="75"/>
      <c r="F286" s="25" t="s">
        <v>378</v>
      </c>
      <c r="G286" s="25" t="s">
        <v>66</v>
      </c>
      <c r="H286" s="22">
        <v>44</v>
      </c>
      <c r="I286" s="81" t="s">
        <v>117</v>
      </c>
      <c r="J286" s="8"/>
      <c r="K286" s="16"/>
    </row>
    <row r="287" spans="1:11" ht="45" x14ac:dyDescent="0.25">
      <c r="A287" s="73">
        <f t="shared" si="23"/>
        <v>262</v>
      </c>
      <c r="B287" s="23" t="s">
        <v>244</v>
      </c>
      <c r="C287" s="16" t="s">
        <v>21</v>
      </c>
      <c r="D287" s="74">
        <f>0.05*3.6*2</f>
        <v>0.36000000000000004</v>
      </c>
      <c r="E287" s="75" t="s">
        <v>245</v>
      </c>
      <c r="F287" s="25" t="s">
        <v>378</v>
      </c>
      <c r="G287" s="25" t="s">
        <v>66</v>
      </c>
      <c r="H287" s="22">
        <v>44</v>
      </c>
      <c r="I287" s="73"/>
      <c r="J287" s="8"/>
      <c r="K287" s="16"/>
    </row>
    <row r="288" spans="1:11" ht="45" x14ac:dyDescent="0.25">
      <c r="A288" s="73">
        <f t="shared" si="23"/>
        <v>263</v>
      </c>
      <c r="B288" s="23" t="s">
        <v>36</v>
      </c>
      <c r="C288" s="16" t="s">
        <v>21</v>
      </c>
      <c r="D288" s="74">
        <f>D287</f>
        <v>0.36000000000000004</v>
      </c>
      <c r="E288" s="75" t="s">
        <v>245</v>
      </c>
      <c r="F288" s="25" t="s">
        <v>378</v>
      </c>
      <c r="G288" s="25" t="s">
        <v>66</v>
      </c>
      <c r="H288" s="22">
        <v>44</v>
      </c>
      <c r="I288" s="73"/>
      <c r="J288" s="8"/>
      <c r="K288" s="16"/>
    </row>
    <row r="289" spans="1:11" ht="45" x14ac:dyDescent="0.25">
      <c r="A289" s="73">
        <f t="shared" si="23"/>
        <v>264</v>
      </c>
      <c r="B289" s="23" t="s">
        <v>246</v>
      </c>
      <c r="C289" s="16" t="s">
        <v>21</v>
      </c>
      <c r="D289" s="74">
        <f>D290+D291+D292</f>
        <v>0.54800000000000004</v>
      </c>
      <c r="E289" s="75" t="s">
        <v>247</v>
      </c>
      <c r="F289" s="25" t="s">
        <v>378</v>
      </c>
      <c r="G289" s="25" t="s">
        <v>66</v>
      </c>
      <c r="H289" s="22">
        <v>44</v>
      </c>
      <c r="I289" s="73"/>
      <c r="J289" s="8"/>
      <c r="K289" s="16"/>
    </row>
    <row r="290" spans="1:11" ht="45" x14ac:dyDescent="0.25">
      <c r="A290" s="73">
        <f t="shared" si="23"/>
        <v>265</v>
      </c>
      <c r="B290" s="23" t="s">
        <v>248</v>
      </c>
      <c r="C290" s="16" t="s">
        <v>21</v>
      </c>
      <c r="D290" s="74">
        <f>0.05*2*2</f>
        <v>0.2</v>
      </c>
      <c r="E290" s="75" t="s">
        <v>249</v>
      </c>
      <c r="F290" s="25" t="s">
        <v>378</v>
      </c>
      <c r="G290" s="25" t="s">
        <v>66</v>
      </c>
      <c r="H290" s="22">
        <v>44</v>
      </c>
      <c r="I290" s="81" t="s">
        <v>250</v>
      </c>
      <c r="J290" s="8"/>
      <c r="K290" s="16"/>
    </row>
    <row r="291" spans="1:11" ht="45" x14ac:dyDescent="0.25">
      <c r="A291" s="73">
        <f t="shared" si="23"/>
        <v>266</v>
      </c>
      <c r="B291" s="23" t="s">
        <v>251</v>
      </c>
      <c r="C291" s="16" t="s">
        <v>21</v>
      </c>
      <c r="D291" s="74">
        <f>0.154*2</f>
        <v>0.308</v>
      </c>
      <c r="E291" s="75" t="s">
        <v>252</v>
      </c>
      <c r="F291" s="25" t="s">
        <v>378</v>
      </c>
      <c r="G291" s="25" t="s">
        <v>66</v>
      </c>
      <c r="H291" s="22">
        <v>44</v>
      </c>
      <c r="I291" s="81" t="s">
        <v>242</v>
      </c>
      <c r="J291" s="8"/>
      <c r="K291" s="16"/>
    </row>
    <row r="292" spans="1:11" ht="45" x14ac:dyDescent="0.25">
      <c r="A292" s="73">
        <f t="shared" si="23"/>
        <v>267</v>
      </c>
      <c r="B292" s="23" t="s">
        <v>253</v>
      </c>
      <c r="C292" s="16" t="s">
        <v>21</v>
      </c>
      <c r="D292" s="74">
        <f>0.02*2</f>
        <v>0.04</v>
      </c>
      <c r="E292" s="75" t="s">
        <v>254</v>
      </c>
      <c r="F292" s="25" t="s">
        <v>378</v>
      </c>
      <c r="G292" s="25" t="s">
        <v>66</v>
      </c>
      <c r="H292" s="22">
        <v>44</v>
      </c>
      <c r="I292" s="81" t="s">
        <v>242</v>
      </c>
      <c r="J292" s="8"/>
      <c r="K292" s="16"/>
    </row>
    <row r="293" spans="1:11" ht="45" x14ac:dyDescent="0.25">
      <c r="A293" s="73">
        <f t="shared" si="23"/>
        <v>268</v>
      </c>
      <c r="B293" s="23" t="s">
        <v>255</v>
      </c>
      <c r="C293" s="16" t="s">
        <v>125</v>
      </c>
      <c r="D293" s="80">
        <f>5*2</f>
        <v>10</v>
      </c>
      <c r="E293" s="75" t="s">
        <v>256</v>
      </c>
      <c r="F293" s="25" t="s">
        <v>378</v>
      </c>
      <c r="G293" s="25" t="s">
        <v>66</v>
      </c>
      <c r="H293" s="22">
        <v>44</v>
      </c>
      <c r="I293" s="73"/>
      <c r="J293" s="8"/>
      <c r="K293" s="16"/>
    </row>
    <row r="294" spans="1:11" ht="45" x14ac:dyDescent="0.25">
      <c r="A294" s="73">
        <f t="shared" si="23"/>
        <v>269</v>
      </c>
      <c r="B294" s="23" t="s">
        <v>257</v>
      </c>
      <c r="C294" s="16" t="s">
        <v>6</v>
      </c>
      <c r="D294" s="76">
        <f>1.578*0.52*D293/1000</f>
        <v>8.2056000000000004E-3</v>
      </c>
      <c r="E294" s="75" t="s">
        <v>258</v>
      </c>
      <c r="F294" s="25" t="s">
        <v>378</v>
      </c>
      <c r="G294" s="25" t="s">
        <v>66</v>
      </c>
      <c r="H294" s="22">
        <v>44</v>
      </c>
      <c r="I294" s="73"/>
      <c r="J294" s="8"/>
      <c r="K294" s="16"/>
    </row>
    <row r="295" spans="1:11" ht="45" x14ac:dyDescent="0.25">
      <c r="A295" s="73">
        <f t="shared" si="23"/>
        <v>270</v>
      </c>
      <c r="B295" s="23" t="s">
        <v>259</v>
      </c>
      <c r="C295" s="16" t="s">
        <v>125</v>
      </c>
      <c r="D295" s="80">
        <v>2</v>
      </c>
      <c r="E295" s="75"/>
      <c r="F295" s="25" t="s">
        <v>378</v>
      </c>
      <c r="G295" s="25" t="s">
        <v>66</v>
      </c>
      <c r="H295" s="22">
        <v>44</v>
      </c>
      <c r="I295" s="73"/>
      <c r="J295" s="8"/>
      <c r="K295" s="16"/>
    </row>
    <row r="296" spans="1:11" ht="45" x14ac:dyDescent="0.25">
      <c r="A296" s="73">
        <f t="shared" si="23"/>
        <v>271</v>
      </c>
      <c r="B296" s="23" t="s">
        <v>260</v>
      </c>
      <c r="C296" s="16" t="s">
        <v>6</v>
      </c>
      <c r="D296" s="74">
        <f>60*D295/1000</f>
        <v>0.12</v>
      </c>
      <c r="E296" s="75" t="s">
        <v>261</v>
      </c>
      <c r="F296" s="25" t="s">
        <v>378</v>
      </c>
      <c r="G296" s="25" t="s">
        <v>66</v>
      </c>
      <c r="H296" s="22">
        <v>44</v>
      </c>
      <c r="I296" s="73"/>
      <c r="J296" s="8"/>
      <c r="K296" s="16"/>
    </row>
    <row r="297" spans="1:11" ht="45" x14ac:dyDescent="0.25">
      <c r="A297" s="73">
        <f t="shared" si="23"/>
        <v>272</v>
      </c>
      <c r="B297" s="23" t="s">
        <v>262</v>
      </c>
      <c r="C297" s="16" t="s">
        <v>30</v>
      </c>
      <c r="D297" s="74">
        <f>2.9*(3.6+2.6)*2-0.71^2*3.14*2+2.7*1.52*2</f>
        <v>41.002251999999999</v>
      </c>
      <c r="E297" s="75" t="s">
        <v>263</v>
      </c>
      <c r="F297" s="25" t="s">
        <v>378</v>
      </c>
      <c r="G297" s="25" t="s">
        <v>66</v>
      </c>
      <c r="H297" s="22">
        <v>44</v>
      </c>
      <c r="I297" s="73"/>
      <c r="J297" s="8"/>
      <c r="K297" s="16"/>
    </row>
    <row r="298" spans="1:11" ht="45" x14ac:dyDescent="0.25">
      <c r="A298" s="73">
        <f t="shared" si="23"/>
        <v>273</v>
      </c>
      <c r="B298" s="23" t="s">
        <v>206</v>
      </c>
      <c r="C298" s="16" t="s">
        <v>30</v>
      </c>
      <c r="D298" s="74">
        <f>D297*1.15*2</f>
        <v>94.305179599999988</v>
      </c>
      <c r="E298" s="75" t="s">
        <v>264</v>
      </c>
      <c r="F298" s="25" t="s">
        <v>378</v>
      </c>
      <c r="G298" s="25" t="s">
        <v>66</v>
      </c>
      <c r="H298" s="22">
        <v>44</v>
      </c>
      <c r="I298" s="73"/>
      <c r="J298" s="8"/>
      <c r="K298" s="16"/>
    </row>
    <row r="299" spans="1:11" ht="45" x14ac:dyDescent="0.25">
      <c r="A299" s="73">
        <f t="shared" si="23"/>
        <v>274</v>
      </c>
      <c r="B299" s="23" t="s">
        <v>43</v>
      </c>
      <c r="C299" s="16" t="s">
        <v>31</v>
      </c>
      <c r="D299" s="74">
        <f>D297*0.16</f>
        <v>6.56036032</v>
      </c>
      <c r="E299" s="75" t="s">
        <v>265</v>
      </c>
      <c r="F299" s="25" t="s">
        <v>378</v>
      </c>
      <c r="G299" s="25" t="s">
        <v>66</v>
      </c>
      <c r="H299" s="22">
        <v>44</v>
      </c>
      <c r="I299" s="73"/>
      <c r="J299" s="8"/>
      <c r="K299" s="16"/>
    </row>
    <row r="300" spans="1:11" ht="60" x14ac:dyDescent="0.25">
      <c r="A300" s="73">
        <f t="shared" si="23"/>
        <v>275</v>
      </c>
      <c r="B300" s="23" t="s">
        <v>266</v>
      </c>
      <c r="C300" s="16" t="s">
        <v>30</v>
      </c>
      <c r="D300" s="74">
        <f>3.72*2.38-0.35^2*3.14*2</f>
        <v>8.0843000000000007</v>
      </c>
      <c r="E300" s="75" t="s">
        <v>267</v>
      </c>
      <c r="F300" s="25" t="s">
        <v>378</v>
      </c>
      <c r="G300" s="25" t="s">
        <v>66</v>
      </c>
      <c r="H300" s="22">
        <v>44</v>
      </c>
      <c r="I300" s="73"/>
      <c r="J300" s="8"/>
      <c r="K300" s="16"/>
    </row>
    <row r="301" spans="1:11" ht="45" x14ac:dyDescent="0.25">
      <c r="A301" s="73">
        <f t="shared" si="23"/>
        <v>276</v>
      </c>
      <c r="B301" s="23" t="s">
        <v>206</v>
      </c>
      <c r="C301" s="16" t="s">
        <v>30</v>
      </c>
      <c r="D301" s="74">
        <f>D300*1.15*2</f>
        <v>18.593890000000002</v>
      </c>
      <c r="E301" s="75" t="s">
        <v>268</v>
      </c>
      <c r="F301" s="25" t="s">
        <v>378</v>
      </c>
      <c r="G301" s="25" t="s">
        <v>66</v>
      </c>
      <c r="H301" s="22">
        <v>44</v>
      </c>
      <c r="I301" s="73"/>
      <c r="J301" s="8"/>
      <c r="K301" s="16"/>
    </row>
    <row r="302" spans="1:11" ht="45" x14ac:dyDescent="0.25">
      <c r="A302" s="73">
        <f t="shared" si="23"/>
        <v>277</v>
      </c>
      <c r="B302" s="23" t="s">
        <v>43</v>
      </c>
      <c r="C302" s="16" t="s">
        <v>31</v>
      </c>
      <c r="D302" s="74">
        <f>D300*0.16</f>
        <v>1.2934880000000002</v>
      </c>
      <c r="E302" s="75" t="s">
        <v>269</v>
      </c>
      <c r="F302" s="25" t="s">
        <v>378</v>
      </c>
      <c r="G302" s="25" t="s">
        <v>66</v>
      </c>
      <c r="H302" s="22">
        <v>44</v>
      </c>
      <c r="I302" s="73"/>
      <c r="J302" s="8"/>
      <c r="K302" s="16"/>
    </row>
    <row r="303" spans="1:11" ht="45" x14ac:dyDescent="0.25">
      <c r="A303" s="73">
        <f t="shared" si="23"/>
        <v>278</v>
      </c>
      <c r="B303" s="23" t="s">
        <v>270</v>
      </c>
      <c r="C303" s="16" t="s">
        <v>21</v>
      </c>
      <c r="D303" s="76">
        <f>0.1*0.1/2*12.8</f>
        <v>6.4000000000000015E-2</v>
      </c>
      <c r="E303" s="75" t="s">
        <v>271</v>
      </c>
      <c r="F303" s="25" t="s">
        <v>378</v>
      </c>
      <c r="G303" s="25" t="s">
        <v>66</v>
      </c>
      <c r="H303" s="22">
        <v>44</v>
      </c>
      <c r="I303" s="73"/>
      <c r="J303" s="8"/>
      <c r="K303" s="16"/>
    </row>
    <row r="304" spans="1:11" ht="45" x14ac:dyDescent="0.25">
      <c r="A304" s="73">
        <f t="shared" si="23"/>
        <v>279</v>
      </c>
      <c r="B304" s="23" t="s">
        <v>272</v>
      </c>
      <c r="C304" s="16" t="s">
        <v>21</v>
      </c>
      <c r="D304" s="74">
        <f>D303*1.02</f>
        <v>6.5280000000000019E-2</v>
      </c>
      <c r="E304" s="75" t="s">
        <v>273</v>
      </c>
      <c r="F304" s="25" t="s">
        <v>378</v>
      </c>
      <c r="G304" s="25" t="s">
        <v>66</v>
      </c>
      <c r="H304" s="22">
        <v>44</v>
      </c>
      <c r="I304" s="73"/>
      <c r="J304" s="8"/>
      <c r="K304" s="16"/>
    </row>
    <row r="305" spans="1:11" ht="45" x14ac:dyDescent="0.25">
      <c r="A305" s="73">
        <f t="shared" si="23"/>
        <v>280</v>
      </c>
      <c r="B305" s="23" t="s">
        <v>274</v>
      </c>
      <c r="C305" s="16" t="s">
        <v>112</v>
      </c>
      <c r="D305" s="74">
        <f>(2.7+0.5)*3*2</f>
        <v>19.200000000000003</v>
      </c>
      <c r="E305" s="75" t="s">
        <v>275</v>
      </c>
      <c r="F305" s="25" t="s">
        <v>378</v>
      </c>
      <c r="G305" s="25" t="s">
        <v>66</v>
      </c>
      <c r="H305" s="22">
        <v>44</v>
      </c>
      <c r="I305" s="73"/>
      <c r="J305" s="8"/>
      <c r="K305" s="16"/>
    </row>
    <row r="306" spans="1:11" ht="45" x14ac:dyDescent="0.25">
      <c r="A306" s="73">
        <f t="shared" si="23"/>
        <v>281</v>
      </c>
      <c r="B306" s="23" t="s">
        <v>276</v>
      </c>
      <c r="C306" s="16" t="s">
        <v>30</v>
      </c>
      <c r="D306" s="74">
        <f>D305*0.03*1.022</f>
        <v>0.58867200000000008</v>
      </c>
      <c r="E306" s="75" t="s">
        <v>277</v>
      </c>
      <c r="F306" s="25" t="s">
        <v>378</v>
      </c>
      <c r="G306" s="25" t="s">
        <v>66</v>
      </c>
      <c r="H306" s="22">
        <v>44</v>
      </c>
      <c r="I306" s="73"/>
      <c r="J306" s="8"/>
      <c r="K306" s="16"/>
    </row>
    <row r="307" spans="1:11" x14ac:dyDescent="0.25">
      <c r="A307" s="95" t="s">
        <v>379</v>
      </c>
      <c r="B307" s="95"/>
      <c r="C307" s="95"/>
      <c r="D307" s="95"/>
      <c r="E307" s="95"/>
      <c r="F307" s="95"/>
      <c r="G307" s="95"/>
      <c r="H307" s="95"/>
      <c r="I307" s="95"/>
      <c r="J307" s="95"/>
      <c r="K307" s="95"/>
    </row>
    <row r="308" spans="1:11" x14ac:dyDescent="0.25">
      <c r="A308" s="95" t="s">
        <v>26</v>
      </c>
      <c r="B308" s="95"/>
      <c r="C308" s="95"/>
      <c r="D308" s="95"/>
      <c r="E308" s="95"/>
      <c r="F308" s="95"/>
      <c r="G308" s="95"/>
      <c r="H308" s="95"/>
      <c r="I308" s="95"/>
      <c r="J308" s="95"/>
      <c r="K308" s="95"/>
    </row>
    <row r="309" spans="1:11" ht="90" x14ac:dyDescent="0.25">
      <c r="A309" s="73">
        <f>A306+1</f>
        <v>282</v>
      </c>
      <c r="B309" s="35" t="s">
        <v>45</v>
      </c>
      <c r="C309" s="26" t="s">
        <v>21</v>
      </c>
      <c r="D309" s="74">
        <f>(36.34+165.11)/2*4.47</f>
        <v>450.24074999999999</v>
      </c>
      <c r="E309" s="75" t="s">
        <v>278</v>
      </c>
      <c r="F309" s="25" t="s">
        <v>380</v>
      </c>
      <c r="G309" s="25" t="s">
        <v>66</v>
      </c>
      <c r="H309" s="22">
        <v>45</v>
      </c>
      <c r="I309" s="36" t="s">
        <v>59</v>
      </c>
      <c r="J309" s="8"/>
      <c r="K309" s="16"/>
    </row>
    <row r="310" spans="1:11" ht="60" x14ac:dyDescent="0.25">
      <c r="A310" s="73">
        <f t="shared" ref="A310:A316" si="24">A309+1</f>
        <v>283</v>
      </c>
      <c r="B310" s="35" t="s">
        <v>398</v>
      </c>
      <c r="C310" s="16" t="s">
        <v>6</v>
      </c>
      <c r="D310" s="74">
        <f>(D309-D311)*1.96</f>
        <v>595.88067000000001</v>
      </c>
      <c r="E310" s="75" t="s">
        <v>279</v>
      </c>
      <c r="F310" s="25" t="s">
        <v>380</v>
      </c>
      <c r="G310" s="25" t="s">
        <v>66</v>
      </c>
      <c r="H310" s="22">
        <v>45</v>
      </c>
      <c r="I310" s="8"/>
      <c r="J310" s="8"/>
      <c r="K310" s="16"/>
    </row>
    <row r="311" spans="1:11" ht="45" x14ac:dyDescent="0.25">
      <c r="A311" s="73">
        <f t="shared" si="24"/>
        <v>284</v>
      </c>
      <c r="B311" s="25" t="s">
        <v>46</v>
      </c>
      <c r="C311" s="16" t="s">
        <v>21</v>
      </c>
      <c r="D311" s="74">
        <f>(128.49+165.11)/2*1-0.58*1</f>
        <v>146.22</v>
      </c>
      <c r="E311" s="75" t="s">
        <v>280</v>
      </c>
      <c r="F311" s="25" t="s">
        <v>380</v>
      </c>
      <c r="G311" s="25" t="s">
        <v>66</v>
      </c>
      <c r="H311" s="22">
        <v>45</v>
      </c>
      <c r="I311" s="73"/>
      <c r="J311" s="8"/>
      <c r="K311" s="16"/>
    </row>
    <row r="312" spans="1:11" ht="45" x14ac:dyDescent="0.25">
      <c r="A312" s="73">
        <f t="shared" si="24"/>
        <v>285</v>
      </c>
      <c r="B312" s="25" t="s">
        <v>33</v>
      </c>
      <c r="C312" s="16" t="s">
        <v>21</v>
      </c>
      <c r="D312" s="74">
        <f>D311</f>
        <v>146.22</v>
      </c>
      <c r="E312" s="75" t="s">
        <v>280</v>
      </c>
      <c r="F312" s="25" t="s">
        <v>380</v>
      </c>
      <c r="G312" s="25" t="s">
        <v>66</v>
      </c>
      <c r="H312" s="22">
        <v>45</v>
      </c>
      <c r="I312" s="73"/>
      <c r="J312" s="8"/>
      <c r="K312" s="16"/>
    </row>
    <row r="313" spans="1:11" ht="45" x14ac:dyDescent="0.25">
      <c r="A313" s="73">
        <f t="shared" si="24"/>
        <v>286</v>
      </c>
      <c r="B313" s="25" t="s">
        <v>158</v>
      </c>
      <c r="C313" s="16" t="s">
        <v>21</v>
      </c>
      <c r="D313" s="74">
        <f>(36.34+128.49)/2*3.47-D318-D320-D322-2.6*5.9*2.6-0.49*3-0.25*2-0.58*0.32</f>
        <v>234.8954500000001</v>
      </c>
      <c r="E313" s="75" t="s">
        <v>281</v>
      </c>
      <c r="F313" s="25" t="s">
        <v>380</v>
      </c>
      <c r="G313" s="25" t="s">
        <v>66</v>
      </c>
      <c r="H313" s="22">
        <v>45</v>
      </c>
      <c r="I313" s="73"/>
      <c r="J313" s="8"/>
      <c r="K313" s="16"/>
    </row>
    <row r="314" spans="1:11" ht="45" x14ac:dyDescent="0.25">
      <c r="A314" s="73">
        <f t="shared" si="24"/>
        <v>287</v>
      </c>
      <c r="B314" s="25" t="s">
        <v>33</v>
      </c>
      <c r="C314" s="16" t="s">
        <v>21</v>
      </c>
      <c r="D314" s="74">
        <f>D313</f>
        <v>234.8954500000001</v>
      </c>
      <c r="E314" s="75" t="s">
        <v>281</v>
      </c>
      <c r="F314" s="25" t="s">
        <v>380</v>
      </c>
      <c r="G314" s="25" t="s">
        <v>66</v>
      </c>
      <c r="H314" s="22">
        <v>45</v>
      </c>
      <c r="I314" s="73"/>
      <c r="J314" s="8"/>
      <c r="K314" s="16"/>
    </row>
    <row r="315" spans="1:11" ht="45" x14ac:dyDescent="0.25">
      <c r="A315" s="73">
        <f t="shared" si="24"/>
        <v>288</v>
      </c>
      <c r="B315" s="25" t="s">
        <v>160</v>
      </c>
      <c r="C315" s="16" t="s">
        <v>21</v>
      </c>
      <c r="D315" s="74">
        <f>D313</f>
        <v>234.8954500000001</v>
      </c>
      <c r="E315" s="75" t="s">
        <v>281</v>
      </c>
      <c r="F315" s="25" t="s">
        <v>380</v>
      </c>
      <c r="G315" s="25" t="s">
        <v>66</v>
      </c>
      <c r="H315" s="22">
        <v>45</v>
      </c>
      <c r="I315" s="73"/>
      <c r="J315" s="8"/>
      <c r="K315" s="16"/>
    </row>
    <row r="316" spans="1:11" ht="45" x14ac:dyDescent="0.25">
      <c r="A316" s="73">
        <f t="shared" si="24"/>
        <v>289</v>
      </c>
      <c r="B316" s="23" t="s">
        <v>431</v>
      </c>
      <c r="C316" s="16" t="s">
        <v>21</v>
      </c>
      <c r="D316" s="74">
        <f>D313*1.23</f>
        <v>288.92140350000011</v>
      </c>
      <c r="E316" s="75" t="s">
        <v>282</v>
      </c>
      <c r="F316" s="25" t="s">
        <v>380</v>
      </c>
      <c r="G316" s="25" t="s">
        <v>66</v>
      </c>
      <c r="H316" s="22">
        <v>45</v>
      </c>
      <c r="I316" s="28" t="s">
        <v>389</v>
      </c>
      <c r="J316" s="8"/>
      <c r="K316" s="16"/>
    </row>
    <row r="317" spans="1:11" x14ac:dyDescent="0.25">
      <c r="A317" s="95" t="s">
        <v>27</v>
      </c>
      <c r="B317" s="95"/>
      <c r="C317" s="95"/>
      <c r="D317" s="95"/>
      <c r="E317" s="95"/>
      <c r="F317" s="95"/>
      <c r="G317" s="95"/>
      <c r="H317" s="95"/>
      <c r="I317" s="95"/>
      <c r="J317" s="95"/>
      <c r="K317" s="95"/>
    </row>
    <row r="318" spans="1:11" ht="45" x14ac:dyDescent="0.25">
      <c r="A318" s="73">
        <f>A316+1</f>
        <v>290</v>
      </c>
      <c r="B318" s="23" t="s">
        <v>198</v>
      </c>
      <c r="C318" s="16" t="s">
        <v>21</v>
      </c>
      <c r="D318" s="74">
        <f>(22.78+26.98)/2*0.2</f>
        <v>4.9760000000000009</v>
      </c>
      <c r="E318" s="75" t="s">
        <v>283</v>
      </c>
      <c r="F318" s="25" t="s">
        <v>380</v>
      </c>
      <c r="G318" s="25" t="s">
        <v>66</v>
      </c>
      <c r="H318" s="22">
        <v>45</v>
      </c>
      <c r="I318" s="73"/>
      <c r="J318" s="8"/>
      <c r="K318" s="16"/>
    </row>
    <row r="319" spans="1:11" ht="45" x14ac:dyDescent="0.25">
      <c r="A319" s="73">
        <f t="shared" ref="A319:A351" si="25">A318+1</f>
        <v>291</v>
      </c>
      <c r="B319" s="23" t="s">
        <v>200</v>
      </c>
      <c r="C319" s="16" t="s">
        <v>21</v>
      </c>
      <c r="D319" s="74">
        <f>D318*1.3</f>
        <v>6.4688000000000017</v>
      </c>
      <c r="E319" s="78" t="s">
        <v>393</v>
      </c>
      <c r="F319" s="25" t="s">
        <v>380</v>
      </c>
      <c r="G319" s="25" t="s">
        <v>66</v>
      </c>
      <c r="H319" s="22">
        <v>45</v>
      </c>
      <c r="I319" s="28" t="s">
        <v>391</v>
      </c>
      <c r="J319" s="8"/>
      <c r="K319" s="16"/>
    </row>
    <row r="320" spans="1:11" ht="45" x14ac:dyDescent="0.25">
      <c r="A320" s="73">
        <f t="shared" si="25"/>
        <v>292</v>
      </c>
      <c r="B320" s="23" t="s">
        <v>201</v>
      </c>
      <c r="C320" s="16" t="s">
        <v>21</v>
      </c>
      <c r="D320" s="74">
        <f>(20.8+22.78)/2*0.1</f>
        <v>2.1789999999999998</v>
      </c>
      <c r="E320" s="75" t="s">
        <v>284</v>
      </c>
      <c r="F320" s="25" t="s">
        <v>380</v>
      </c>
      <c r="G320" s="25" t="s">
        <v>66</v>
      </c>
      <c r="H320" s="22">
        <v>45</v>
      </c>
      <c r="I320" s="73"/>
      <c r="J320" s="8"/>
      <c r="K320" s="16"/>
    </row>
    <row r="321" spans="1:11" ht="45" x14ac:dyDescent="0.25">
      <c r="A321" s="73">
        <f t="shared" si="25"/>
        <v>293</v>
      </c>
      <c r="B321" s="23" t="s">
        <v>431</v>
      </c>
      <c r="C321" s="16" t="s">
        <v>21</v>
      </c>
      <c r="D321" s="74">
        <f>D320*1.23</f>
        <v>2.6801699999999999</v>
      </c>
      <c r="E321" s="78" t="s">
        <v>394</v>
      </c>
      <c r="F321" s="25" t="s">
        <v>380</v>
      </c>
      <c r="G321" s="25" t="s">
        <v>66</v>
      </c>
      <c r="H321" s="22">
        <v>45</v>
      </c>
      <c r="I321" s="28" t="s">
        <v>389</v>
      </c>
      <c r="J321" s="8"/>
      <c r="K321" s="16"/>
    </row>
    <row r="322" spans="1:11" ht="45" x14ac:dyDescent="0.25">
      <c r="A322" s="73">
        <f t="shared" si="25"/>
        <v>294</v>
      </c>
      <c r="B322" s="23" t="s">
        <v>201</v>
      </c>
      <c r="C322" s="16" t="s">
        <v>21</v>
      </c>
      <c r="D322" s="74">
        <f>3*6.3*0.1</f>
        <v>1.89</v>
      </c>
      <c r="E322" s="75" t="s">
        <v>285</v>
      </c>
      <c r="F322" s="25" t="s">
        <v>380</v>
      </c>
      <c r="G322" s="25" t="s">
        <v>66</v>
      </c>
      <c r="H322" s="22">
        <v>45</v>
      </c>
      <c r="I322" s="73"/>
      <c r="J322" s="8"/>
      <c r="K322" s="16"/>
    </row>
    <row r="323" spans="1:11" ht="45" x14ac:dyDescent="0.25">
      <c r="A323" s="73">
        <f t="shared" si="25"/>
        <v>295</v>
      </c>
      <c r="B323" s="23" t="s">
        <v>36</v>
      </c>
      <c r="C323" s="16" t="s">
        <v>21</v>
      </c>
      <c r="D323" s="74">
        <f>D322</f>
        <v>1.89</v>
      </c>
      <c r="E323" s="75" t="s">
        <v>285</v>
      </c>
      <c r="F323" s="25" t="s">
        <v>380</v>
      </c>
      <c r="G323" s="25" t="s">
        <v>66</v>
      </c>
      <c r="H323" s="22">
        <v>45</v>
      </c>
      <c r="I323" s="73"/>
      <c r="J323" s="8"/>
      <c r="K323" s="16"/>
    </row>
    <row r="324" spans="1:11" ht="45" x14ac:dyDescent="0.25">
      <c r="A324" s="73">
        <f t="shared" si="25"/>
        <v>296</v>
      </c>
      <c r="B324" s="23" t="s">
        <v>204</v>
      </c>
      <c r="C324" s="16" t="s">
        <v>30</v>
      </c>
      <c r="D324" s="74">
        <f>3*6.3</f>
        <v>18.899999999999999</v>
      </c>
      <c r="E324" s="75" t="s">
        <v>286</v>
      </c>
      <c r="F324" s="25" t="s">
        <v>380</v>
      </c>
      <c r="G324" s="25" t="s">
        <v>66</v>
      </c>
      <c r="H324" s="22">
        <v>45</v>
      </c>
      <c r="I324" s="73"/>
      <c r="J324" s="8"/>
      <c r="K324" s="16"/>
    </row>
    <row r="325" spans="1:11" ht="45" x14ac:dyDescent="0.25">
      <c r="A325" s="73">
        <f t="shared" si="25"/>
        <v>297</v>
      </c>
      <c r="B325" s="23" t="s">
        <v>206</v>
      </c>
      <c r="C325" s="16" t="s">
        <v>30</v>
      </c>
      <c r="D325" s="74">
        <f>D324*1.15*2</f>
        <v>43.469999999999992</v>
      </c>
      <c r="E325" s="75" t="s">
        <v>287</v>
      </c>
      <c r="F325" s="25" t="s">
        <v>380</v>
      </c>
      <c r="G325" s="25" t="s">
        <v>66</v>
      </c>
      <c r="H325" s="22">
        <v>45</v>
      </c>
      <c r="I325" s="73"/>
      <c r="J325" s="8"/>
      <c r="K325" s="16"/>
    </row>
    <row r="326" spans="1:11" ht="45" x14ac:dyDescent="0.25">
      <c r="A326" s="73">
        <f t="shared" si="25"/>
        <v>298</v>
      </c>
      <c r="B326" s="23" t="s">
        <v>43</v>
      </c>
      <c r="C326" s="16" t="s">
        <v>31</v>
      </c>
      <c r="D326" s="74">
        <f>D324*0.16</f>
        <v>3.024</v>
      </c>
      <c r="E326" s="75" t="s">
        <v>288</v>
      </c>
      <c r="F326" s="25" t="s">
        <v>380</v>
      </c>
      <c r="G326" s="25" t="s">
        <v>66</v>
      </c>
      <c r="H326" s="22">
        <v>45</v>
      </c>
      <c r="I326" s="73"/>
      <c r="J326" s="8"/>
      <c r="K326" s="16"/>
    </row>
    <row r="327" spans="1:11" ht="45" x14ac:dyDescent="0.25">
      <c r="A327" s="73">
        <f t="shared" si="25"/>
        <v>299</v>
      </c>
      <c r="B327" s="23" t="s">
        <v>28</v>
      </c>
      <c r="C327" s="16" t="s">
        <v>6</v>
      </c>
      <c r="D327" s="76">
        <f>D328+D329</f>
        <v>0.45624654999999997</v>
      </c>
      <c r="E327" s="75" t="s">
        <v>289</v>
      </c>
      <c r="F327" s="25" t="s">
        <v>380</v>
      </c>
      <c r="G327" s="25" t="s">
        <v>66</v>
      </c>
      <c r="H327" s="22">
        <v>45</v>
      </c>
      <c r="I327" s="73"/>
      <c r="J327" s="8"/>
      <c r="K327" s="16"/>
    </row>
    <row r="328" spans="1:11" ht="45" x14ac:dyDescent="0.25">
      <c r="A328" s="73">
        <f t="shared" si="25"/>
        <v>300</v>
      </c>
      <c r="B328" s="23" t="s">
        <v>32</v>
      </c>
      <c r="C328" s="16" t="s">
        <v>6</v>
      </c>
      <c r="D328" s="76">
        <f>0.888*(2.56*60+5.86*28+2.71*60)/1000</f>
        <v>0.42648863999999997</v>
      </c>
      <c r="E328" s="75" t="s">
        <v>290</v>
      </c>
      <c r="F328" s="25" t="s">
        <v>380</v>
      </c>
      <c r="G328" s="25" t="s">
        <v>66</v>
      </c>
      <c r="H328" s="22">
        <v>45</v>
      </c>
      <c r="I328" s="73"/>
      <c r="J328" s="8"/>
      <c r="K328" s="16"/>
    </row>
    <row r="329" spans="1:11" ht="45" x14ac:dyDescent="0.25">
      <c r="A329" s="73">
        <f t="shared" si="25"/>
        <v>301</v>
      </c>
      <c r="B329" s="23" t="s">
        <v>37</v>
      </c>
      <c r="C329" s="16" t="s">
        <v>6</v>
      </c>
      <c r="D329" s="76">
        <f>0.617*0.91*53/1000</f>
        <v>2.9757910000000002E-2</v>
      </c>
      <c r="E329" s="75" t="s">
        <v>291</v>
      </c>
      <c r="F329" s="25" t="s">
        <v>380</v>
      </c>
      <c r="G329" s="25" t="s">
        <v>66</v>
      </c>
      <c r="H329" s="22">
        <v>45</v>
      </c>
      <c r="I329" s="73"/>
      <c r="J329" s="8"/>
      <c r="K329" s="16"/>
    </row>
    <row r="330" spans="1:11" ht="45" x14ac:dyDescent="0.25">
      <c r="A330" s="73">
        <f t="shared" si="25"/>
        <v>302</v>
      </c>
      <c r="B330" s="23" t="s">
        <v>212</v>
      </c>
      <c r="C330" s="16" t="s">
        <v>112</v>
      </c>
      <c r="D330" s="74">
        <f>(2.3+5.6)*2</f>
        <v>15.799999999999999</v>
      </c>
      <c r="E330" s="75" t="s">
        <v>292</v>
      </c>
      <c r="F330" s="25" t="s">
        <v>380</v>
      </c>
      <c r="G330" s="25" t="s">
        <v>66</v>
      </c>
      <c r="H330" s="22">
        <v>45</v>
      </c>
      <c r="I330" s="73"/>
      <c r="J330" s="8"/>
      <c r="K330" s="16"/>
    </row>
    <row r="331" spans="1:11" ht="45" x14ac:dyDescent="0.25">
      <c r="A331" s="73">
        <f t="shared" si="25"/>
        <v>303</v>
      </c>
      <c r="B331" s="23" t="s">
        <v>214</v>
      </c>
      <c r="C331" s="16" t="s">
        <v>112</v>
      </c>
      <c r="D331" s="74">
        <f>D330</f>
        <v>15.799999999999999</v>
      </c>
      <c r="E331" s="75" t="s">
        <v>292</v>
      </c>
      <c r="F331" s="25" t="s">
        <v>380</v>
      </c>
      <c r="G331" s="25" t="s">
        <v>66</v>
      </c>
      <c r="H331" s="22">
        <v>45</v>
      </c>
      <c r="I331" s="73"/>
      <c r="J331" s="8"/>
      <c r="K331" s="16"/>
    </row>
    <row r="332" spans="1:11" ht="45" x14ac:dyDescent="0.25">
      <c r="A332" s="73">
        <f t="shared" si="25"/>
        <v>304</v>
      </c>
      <c r="B332" s="23" t="s">
        <v>38</v>
      </c>
      <c r="C332" s="16" t="s">
        <v>21</v>
      </c>
      <c r="D332" s="74">
        <f>2.6*5.9*0.3</f>
        <v>4.6020000000000003</v>
      </c>
      <c r="E332" s="75" t="s">
        <v>293</v>
      </c>
      <c r="F332" s="25" t="s">
        <v>380</v>
      </c>
      <c r="G332" s="25" t="s">
        <v>66</v>
      </c>
      <c r="H332" s="22">
        <v>45</v>
      </c>
      <c r="I332" s="73"/>
      <c r="J332" s="8"/>
      <c r="K332" s="16"/>
    </row>
    <row r="333" spans="1:11" ht="45" x14ac:dyDescent="0.25">
      <c r="A333" s="73">
        <f t="shared" si="25"/>
        <v>305</v>
      </c>
      <c r="B333" s="23" t="s">
        <v>216</v>
      </c>
      <c r="C333" s="16" t="s">
        <v>21</v>
      </c>
      <c r="D333" s="74">
        <f>D332</f>
        <v>4.6020000000000003</v>
      </c>
      <c r="E333" s="75" t="s">
        <v>293</v>
      </c>
      <c r="F333" s="25" t="s">
        <v>380</v>
      </c>
      <c r="G333" s="25" t="s">
        <v>66</v>
      </c>
      <c r="H333" s="22">
        <v>45</v>
      </c>
      <c r="I333" s="73"/>
      <c r="J333" s="8"/>
      <c r="K333" s="16"/>
    </row>
    <row r="334" spans="1:11" ht="45" x14ac:dyDescent="0.25">
      <c r="A334" s="73">
        <f t="shared" si="25"/>
        <v>306</v>
      </c>
      <c r="B334" s="23" t="s">
        <v>217</v>
      </c>
      <c r="C334" s="16" t="s">
        <v>6</v>
      </c>
      <c r="D334" s="76">
        <f>D335+D336</f>
        <v>1.00950696</v>
      </c>
      <c r="E334" s="79" t="s">
        <v>489</v>
      </c>
      <c r="F334" s="25" t="s">
        <v>380</v>
      </c>
      <c r="G334" s="25" t="s">
        <v>66</v>
      </c>
      <c r="H334" s="22">
        <v>45</v>
      </c>
      <c r="I334" s="73"/>
      <c r="J334" s="8"/>
      <c r="K334" s="16"/>
    </row>
    <row r="335" spans="1:11" ht="45" x14ac:dyDescent="0.25">
      <c r="A335" s="73">
        <f t="shared" si="25"/>
        <v>307</v>
      </c>
      <c r="B335" s="23" t="s">
        <v>32</v>
      </c>
      <c r="C335" s="16" t="s">
        <v>6</v>
      </c>
      <c r="D335" s="76">
        <f>0.888*(2.56*48+5.86*48+2.56*164+2.71*74+2.42*32)/1000</f>
        <v>0.97855824000000002</v>
      </c>
      <c r="E335" s="79" t="s">
        <v>488</v>
      </c>
      <c r="F335" s="25" t="s">
        <v>380</v>
      </c>
      <c r="G335" s="25" t="s">
        <v>66</v>
      </c>
      <c r="H335" s="22">
        <v>45</v>
      </c>
      <c r="I335" s="73"/>
      <c r="J335" s="8"/>
      <c r="K335" s="16"/>
    </row>
    <row r="336" spans="1:11" ht="45" x14ac:dyDescent="0.25">
      <c r="A336" s="73">
        <f t="shared" si="25"/>
        <v>308</v>
      </c>
      <c r="B336" s="23" t="s">
        <v>37</v>
      </c>
      <c r="C336" s="16" t="s">
        <v>6</v>
      </c>
      <c r="D336" s="76">
        <f>0.617*0.38*132/1000</f>
        <v>3.0948720000000002E-2</v>
      </c>
      <c r="E336" s="75" t="s">
        <v>294</v>
      </c>
      <c r="F336" s="25" t="s">
        <v>380</v>
      </c>
      <c r="G336" s="25" t="s">
        <v>66</v>
      </c>
      <c r="H336" s="22">
        <v>45</v>
      </c>
      <c r="I336" s="73"/>
      <c r="J336" s="8"/>
      <c r="K336" s="16"/>
    </row>
    <row r="337" spans="1:11" ht="45" x14ac:dyDescent="0.25">
      <c r="A337" s="73">
        <f t="shared" si="25"/>
        <v>309</v>
      </c>
      <c r="B337" s="23" t="s">
        <v>485</v>
      </c>
      <c r="C337" s="16" t="s">
        <v>6</v>
      </c>
      <c r="D337" s="74">
        <f>(171.3*2+10.4)/1000</f>
        <v>0.35299999999999998</v>
      </c>
      <c r="E337" s="79" t="s">
        <v>487</v>
      </c>
      <c r="F337" s="25" t="s">
        <v>380</v>
      </c>
      <c r="G337" s="25" t="s">
        <v>66</v>
      </c>
      <c r="H337" s="22">
        <v>45</v>
      </c>
      <c r="I337" s="73"/>
      <c r="J337" s="8"/>
      <c r="K337" s="16"/>
    </row>
    <row r="338" spans="1:11" ht="45" x14ac:dyDescent="0.25">
      <c r="A338" s="73">
        <f>A337+1</f>
        <v>310</v>
      </c>
      <c r="B338" s="23" t="s">
        <v>482</v>
      </c>
      <c r="C338" s="16" t="s">
        <v>125</v>
      </c>
      <c r="D338" s="80">
        <v>2</v>
      </c>
      <c r="E338" s="75"/>
      <c r="F338" s="25" t="s">
        <v>380</v>
      </c>
      <c r="G338" s="25" t="s">
        <v>66</v>
      </c>
      <c r="H338" s="22">
        <v>45</v>
      </c>
      <c r="I338" s="73"/>
      <c r="J338" s="8"/>
      <c r="K338" s="16"/>
    </row>
    <row r="339" spans="1:11" ht="45" x14ac:dyDescent="0.25">
      <c r="A339" s="73">
        <f t="shared" ref="A339:A340" si="26">A338+1</f>
        <v>311</v>
      </c>
      <c r="B339" s="23" t="s">
        <v>486</v>
      </c>
      <c r="C339" s="16" t="s">
        <v>125</v>
      </c>
      <c r="D339" s="80">
        <v>1</v>
      </c>
      <c r="E339" s="75"/>
      <c r="F339" s="25" t="s">
        <v>490</v>
      </c>
      <c r="G339" s="25" t="s">
        <v>66</v>
      </c>
      <c r="H339" s="22">
        <v>46</v>
      </c>
      <c r="I339" s="73"/>
      <c r="J339" s="8"/>
      <c r="K339" s="16"/>
    </row>
    <row r="340" spans="1:11" ht="45" x14ac:dyDescent="0.25">
      <c r="A340" s="73">
        <f t="shared" si="26"/>
        <v>312</v>
      </c>
      <c r="B340" s="23" t="s">
        <v>295</v>
      </c>
      <c r="C340" s="16" t="s">
        <v>21</v>
      </c>
      <c r="D340" s="74">
        <f>4.74*2.3-0.71^2*3.14*0.3*2</f>
        <v>9.9522756000000001</v>
      </c>
      <c r="E340" s="75" t="s">
        <v>296</v>
      </c>
      <c r="F340" s="25" t="s">
        <v>380</v>
      </c>
      <c r="G340" s="25" t="s">
        <v>66</v>
      </c>
      <c r="H340" s="22">
        <v>45</v>
      </c>
      <c r="I340" s="73"/>
      <c r="J340" s="8"/>
      <c r="K340" s="16"/>
    </row>
    <row r="341" spans="1:11" ht="45" x14ac:dyDescent="0.25">
      <c r="A341" s="73">
        <f t="shared" si="25"/>
        <v>313</v>
      </c>
      <c r="B341" s="23" t="s">
        <v>216</v>
      </c>
      <c r="C341" s="16" t="s">
        <v>21</v>
      </c>
      <c r="D341" s="74">
        <f>D340</f>
        <v>9.9522756000000001</v>
      </c>
      <c r="E341" s="75" t="s">
        <v>296</v>
      </c>
      <c r="F341" s="25" t="s">
        <v>380</v>
      </c>
      <c r="G341" s="25" t="s">
        <v>66</v>
      </c>
      <c r="H341" s="22">
        <v>45</v>
      </c>
      <c r="I341" s="73"/>
      <c r="J341" s="8"/>
      <c r="K341" s="16"/>
    </row>
    <row r="342" spans="1:11" ht="45" x14ac:dyDescent="0.25">
      <c r="A342" s="73">
        <f t="shared" si="25"/>
        <v>314</v>
      </c>
      <c r="B342" s="23" t="s">
        <v>221</v>
      </c>
      <c r="C342" s="16" t="s">
        <v>30</v>
      </c>
      <c r="D342" s="74">
        <f>(2+5.3)*2*2.3+2*5.3-0.71^2*3.14*2</f>
        <v>41.014251999999999</v>
      </c>
      <c r="E342" s="75" t="s">
        <v>297</v>
      </c>
      <c r="F342" s="25" t="s">
        <v>380</v>
      </c>
      <c r="G342" s="25" t="s">
        <v>66</v>
      </c>
      <c r="H342" s="22">
        <v>45</v>
      </c>
      <c r="I342" s="73"/>
      <c r="J342" s="8"/>
      <c r="K342" s="16"/>
    </row>
    <row r="343" spans="1:11" ht="90" x14ac:dyDescent="0.25">
      <c r="A343" s="73">
        <f t="shared" si="25"/>
        <v>315</v>
      </c>
      <c r="B343" s="23" t="s">
        <v>223</v>
      </c>
      <c r="C343" s="16" t="s">
        <v>31</v>
      </c>
      <c r="D343" s="74">
        <f>D342*3.5</f>
        <v>143.549882</v>
      </c>
      <c r="E343" s="75" t="s">
        <v>298</v>
      </c>
      <c r="F343" s="25" t="s">
        <v>380</v>
      </c>
      <c r="G343" s="25" t="s">
        <v>66</v>
      </c>
      <c r="H343" s="22">
        <v>45</v>
      </c>
      <c r="I343" s="73"/>
      <c r="J343" s="8"/>
      <c r="K343" s="16"/>
    </row>
    <row r="344" spans="1:11" ht="45" x14ac:dyDescent="0.25">
      <c r="A344" s="73">
        <f t="shared" si="25"/>
        <v>316</v>
      </c>
      <c r="B344" s="23" t="s">
        <v>225</v>
      </c>
      <c r="C344" s="16" t="s">
        <v>31</v>
      </c>
      <c r="D344" s="74">
        <f>D342*0.2</f>
        <v>8.2028504000000009</v>
      </c>
      <c r="E344" s="75" t="s">
        <v>299</v>
      </c>
      <c r="F344" s="25" t="s">
        <v>380</v>
      </c>
      <c r="G344" s="25" t="s">
        <v>66</v>
      </c>
      <c r="H344" s="22">
        <v>45</v>
      </c>
      <c r="I344" s="73"/>
      <c r="J344" s="8"/>
      <c r="K344" s="16"/>
    </row>
    <row r="345" spans="1:11" ht="45" x14ac:dyDescent="0.25">
      <c r="A345" s="73">
        <f t="shared" si="25"/>
        <v>317</v>
      </c>
      <c r="B345" s="23" t="s">
        <v>227</v>
      </c>
      <c r="C345" s="16" t="s">
        <v>125</v>
      </c>
      <c r="D345" s="80">
        <v>3</v>
      </c>
      <c r="E345" s="75"/>
      <c r="F345" s="25" t="s">
        <v>380</v>
      </c>
      <c r="G345" s="25" t="s">
        <v>66</v>
      </c>
      <c r="H345" s="22">
        <v>45</v>
      </c>
      <c r="I345" s="73"/>
      <c r="J345" s="8"/>
      <c r="K345" s="16"/>
    </row>
    <row r="346" spans="1:11" ht="45" x14ac:dyDescent="0.25">
      <c r="A346" s="73">
        <f t="shared" si="25"/>
        <v>318</v>
      </c>
      <c r="B346" s="23" t="s">
        <v>228</v>
      </c>
      <c r="C346" s="16" t="s">
        <v>6</v>
      </c>
      <c r="D346" s="76">
        <f>23.52*D345/1000</f>
        <v>7.0559999999999998E-2</v>
      </c>
      <c r="E346" s="75" t="s">
        <v>300</v>
      </c>
      <c r="F346" s="25" t="s">
        <v>380</v>
      </c>
      <c r="G346" s="25" t="s">
        <v>66</v>
      </c>
      <c r="H346" s="22">
        <v>45</v>
      </c>
      <c r="I346" s="73"/>
      <c r="J346" s="8"/>
      <c r="K346" s="16"/>
    </row>
    <row r="347" spans="1:11" ht="45" x14ac:dyDescent="0.25">
      <c r="A347" s="73">
        <f t="shared" si="25"/>
        <v>319</v>
      </c>
      <c r="B347" s="23" t="s">
        <v>230</v>
      </c>
      <c r="C347" s="16" t="s">
        <v>6</v>
      </c>
      <c r="D347" s="76">
        <f>3.77*0.15*8*D345/1000</f>
        <v>1.3571999999999999E-2</v>
      </c>
      <c r="E347" s="75" t="s">
        <v>301</v>
      </c>
      <c r="F347" s="25" t="s">
        <v>380</v>
      </c>
      <c r="G347" s="25" t="s">
        <v>66</v>
      </c>
      <c r="H347" s="22">
        <v>45</v>
      </c>
      <c r="I347" s="73"/>
      <c r="J347" s="8"/>
      <c r="K347" s="16"/>
    </row>
    <row r="348" spans="1:11" ht="45" x14ac:dyDescent="0.25">
      <c r="A348" s="73">
        <f t="shared" si="25"/>
        <v>320</v>
      </c>
      <c r="B348" s="23" t="s">
        <v>232</v>
      </c>
      <c r="C348" s="16" t="s">
        <v>30</v>
      </c>
      <c r="D348" s="74">
        <f>((0.2*0.15+0.5*2)*8+(0.2*2.1+0.5*2)*2+0.06*0.485*7)*D345</f>
        <v>33.851100000000002</v>
      </c>
      <c r="E348" s="75" t="s">
        <v>302</v>
      </c>
      <c r="F348" s="25" t="s">
        <v>380</v>
      </c>
      <c r="G348" s="25" t="s">
        <v>66</v>
      </c>
      <c r="H348" s="22">
        <v>45</v>
      </c>
      <c r="I348" s="73"/>
      <c r="J348" s="8"/>
      <c r="K348" s="16"/>
    </row>
    <row r="349" spans="1:11" ht="45" x14ac:dyDescent="0.25">
      <c r="A349" s="73">
        <f t="shared" si="25"/>
        <v>321</v>
      </c>
      <c r="B349" s="23" t="s">
        <v>234</v>
      </c>
      <c r="C349" s="16" t="s">
        <v>31</v>
      </c>
      <c r="D349" s="74">
        <f>D348*0.15*2</f>
        <v>10.155330000000001</v>
      </c>
      <c r="E349" s="75" t="s">
        <v>303</v>
      </c>
      <c r="F349" s="25" t="s">
        <v>380</v>
      </c>
      <c r="G349" s="25" t="s">
        <v>66</v>
      </c>
      <c r="H349" s="22">
        <v>45</v>
      </c>
      <c r="I349" s="73"/>
      <c r="J349" s="8"/>
      <c r="K349" s="16"/>
    </row>
    <row r="350" spans="1:11" ht="45" x14ac:dyDescent="0.25">
      <c r="A350" s="73">
        <f t="shared" si="25"/>
        <v>322</v>
      </c>
      <c r="B350" s="23" t="s">
        <v>236</v>
      </c>
      <c r="C350" s="16" t="s">
        <v>31</v>
      </c>
      <c r="D350" s="74">
        <f>D348*0.1</f>
        <v>3.3851100000000005</v>
      </c>
      <c r="E350" s="75" t="s">
        <v>304</v>
      </c>
      <c r="F350" s="25" t="s">
        <v>380</v>
      </c>
      <c r="G350" s="25" t="s">
        <v>66</v>
      </c>
      <c r="H350" s="22">
        <v>45</v>
      </c>
      <c r="I350" s="73"/>
      <c r="J350" s="8"/>
      <c r="K350" s="16"/>
    </row>
    <row r="351" spans="1:11" ht="45" x14ac:dyDescent="0.25">
      <c r="A351" s="73">
        <f t="shared" si="25"/>
        <v>323</v>
      </c>
      <c r="B351" s="23" t="s">
        <v>238</v>
      </c>
      <c r="C351" s="16" t="s">
        <v>21</v>
      </c>
      <c r="D351" s="74">
        <f>D352+D353</f>
        <v>1.97</v>
      </c>
      <c r="E351" s="75" t="s">
        <v>305</v>
      </c>
      <c r="F351" s="25" t="s">
        <v>380</v>
      </c>
      <c r="G351" s="25" t="s">
        <v>66</v>
      </c>
      <c r="H351" s="22">
        <v>45</v>
      </c>
      <c r="I351" s="73"/>
      <c r="J351" s="8"/>
      <c r="K351" s="16"/>
    </row>
    <row r="352" spans="1:11" ht="45" x14ac:dyDescent="0.25">
      <c r="A352" s="73">
        <f t="shared" ref="A352:A373" si="27">A351+1</f>
        <v>324</v>
      </c>
      <c r="B352" s="23" t="s">
        <v>240</v>
      </c>
      <c r="C352" s="16" t="s">
        <v>21</v>
      </c>
      <c r="D352" s="74">
        <f>0.49*3</f>
        <v>1.47</v>
      </c>
      <c r="E352" s="75" t="s">
        <v>306</v>
      </c>
      <c r="F352" s="25" t="s">
        <v>380</v>
      </c>
      <c r="G352" s="25" t="s">
        <v>66</v>
      </c>
      <c r="H352" s="22">
        <v>45</v>
      </c>
      <c r="I352" s="81" t="s">
        <v>307</v>
      </c>
      <c r="J352" s="8"/>
      <c r="K352" s="16"/>
    </row>
    <row r="353" spans="1:11" ht="45" x14ac:dyDescent="0.25">
      <c r="A353" s="73">
        <f t="shared" si="27"/>
        <v>325</v>
      </c>
      <c r="B353" s="23" t="s">
        <v>243</v>
      </c>
      <c r="C353" s="16" t="s">
        <v>21</v>
      </c>
      <c r="D353" s="74">
        <f>0.25*2</f>
        <v>0.5</v>
      </c>
      <c r="E353" s="75" t="s">
        <v>308</v>
      </c>
      <c r="F353" s="25" t="s">
        <v>380</v>
      </c>
      <c r="G353" s="25" t="s">
        <v>66</v>
      </c>
      <c r="H353" s="22">
        <v>45</v>
      </c>
      <c r="I353" s="81" t="s">
        <v>242</v>
      </c>
      <c r="J353" s="8"/>
      <c r="K353" s="16"/>
    </row>
    <row r="354" spans="1:11" ht="45" x14ac:dyDescent="0.25">
      <c r="A354" s="73">
        <f t="shared" si="27"/>
        <v>326</v>
      </c>
      <c r="B354" s="23" t="s">
        <v>244</v>
      </c>
      <c r="C354" s="16" t="s">
        <v>21</v>
      </c>
      <c r="D354" s="74">
        <f>0.05*5.9*2</f>
        <v>0.59000000000000008</v>
      </c>
      <c r="E354" s="75" t="s">
        <v>309</v>
      </c>
      <c r="F354" s="25" t="s">
        <v>380</v>
      </c>
      <c r="G354" s="25" t="s">
        <v>66</v>
      </c>
      <c r="H354" s="22">
        <v>45</v>
      </c>
      <c r="I354" s="73"/>
      <c r="J354" s="8"/>
      <c r="K354" s="16"/>
    </row>
    <row r="355" spans="1:11" ht="45" x14ac:dyDescent="0.25">
      <c r="A355" s="73">
        <f t="shared" si="27"/>
        <v>327</v>
      </c>
      <c r="B355" s="23" t="s">
        <v>36</v>
      </c>
      <c r="C355" s="16" t="s">
        <v>21</v>
      </c>
      <c r="D355" s="74">
        <f>D354</f>
        <v>0.59000000000000008</v>
      </c>
      <c r="E355" s="75" t="s">
        <v>309</v>
      </c>
      <c r="F355" s="25" t="s">
        <v>380</v>
      </c>
      <c r="G355" s="25" t="s">
        <v>66</v>
      </c>
      <c r="H355" s="22">
        <v>45</v>
      </c>
      <c r="I355" s="73"/>
      <c r="J355" s="8"/>
      <c r="K355" s="16"/>
    </row>
    <row r="356" spans="1:11" ht="45" x14ac:dyDescent="0.25">
      <c r="A356" s="73">
        <f t="shared" si="27"/>
        <v>328</v>
      </c>
      <c r="B356" s="23" t="s">
        <v>246</v>
      </c>
      <c r="C356" s="16" t="s">
        <v>21</v>
      </c>
      <c r="D356" s="74">
        <f>D357+D358+D359</f>
        <v>0.79200000000000004</v>
      </c>
      <c r="E356" s="75" t="s">
        <v>310</v>
      </c>
      <c r="F356" s="25" t="s">
        <v>380</v>
      </c>
      <c r="G356" s="25" t="s">
        <v>66</v>
      </c>
      <c r="H356" s="22">
        <v>45</v>
      </c>
      <c r="I356" s="73"/>
      <c r="J356" s="8"/>
      <c r="K356" s="16"/>
    </row>
    <row r="357" spans="1:11" ht="45" x14ac:dyDescent="0.25">
      <c r="A357" s="73">
        <f t="shared" si="27"/>
        <v>329</v>
      </c>
      <c r="B357" s="23" t="s">
        <v>248</v>
      </c>
      <c r="C357" s="16" t="s">
        <v>21</v>
      </c>
      <c r="D357" s="74">
        <f>0.05*D362</f>
        <v>0.15000000000000002</v>
      </c>
      <c r="E357" s="75" t="s">
        <v>311</v>
      </c>
      <c r="F357" s="25" t="s">
        <v>380</v>
      </c>
      <c r="G357" s="25" t="s">
        <v>66</v>
      </c>
      <c r="H357" s="22">
        <v>45</v>
      </c>
      <c r="I357" s="81" t="s">
        <v>307</v>
      </c>
      <c r="J357" s="8"/>
      <c r="K357" s="16"/>
    </row>
    <row r="358" spans="1:11" ht="45" x14ac:dyDescent="0.25">
      <c r="A358" s="73">
        <f t="shared" si="27"/>
        <v>330</v>
      </c>
      <c r="B358" s="23" t="s">
        <v>251</v>
      </c>
      <c r="C358" s="16" t="s">
        <v>21</v>
      </c>
      <c r="D358" s="74">
        <f>0.154*D362</f>
        <v>0.46199999999999997</v>
      </c>
      <c r="E358" s="75" t="s">
        <v>312</v>
      </c>
      <c r="F358" s="25" t="s">
        <v>380</v>
      </c>
      <c r="G358" s="25" t="s">
        <v>66</v>
      </c>
      <c r="H358" s="22">
        <v>45</v>
      </c>
      <c r="I358" s="81" t="s">
        <v>307</v>
      </c>
      <c r="J358" s="8"/>
      <c r="K358" s="16"/>
    </row>
    <row r="359" spans="1:11" ht="45" x14ac:dyDescent="0.25">
      <c r="A359" s="73">
        <f t="shared" si="27"/>
        <v>331</v>
      </c>
      <c r="B359" s="23" t="s">
        <v>253</v>
      </c>
      <c r="C359" s="16" t="s">
        <v>21</v>
      </c>
      <c r="D359" s="74">
        <f>0.02*3*D362</f>
        <v>0.18</v>
      </c>
      <c r="E359" s="75" t="s">
        <v>313</v>
      </c>
      <c r="F359" s="25" t="s">
        <v>380</v>
      </c>
      <c r="G359" s="25" t="s">
        <v>66</v>
      </c>
      <c r="H359" s="22">
        <v>45</v>
      </c>
      <c r="I359" s="81" t="s">
        <v>314</v>
      </c>
      <c r="J359" s="8"/>
      <c r="K359" s="16"/>
    </row>
    <row r="360" spans="1:11" ht="45" x14ac:dyDescent="0.25">
      <c r="A360" s="73">
        <f t="shared" si="27"/>
        <v>332</v>
      </c>
      <c r="B360" s="23" t="s">
        <v>255</v>
      </c>
      <c r="C360" s="16" t="s">
        <v>125</v>
      </c>
      <c r="D360" s="80">
        <f>4*D362</f>
        <v>12</v>
      </c>
      <c r="E360" s="75" t="s">
        <v>315</v>
      </c>
      <c r="F360" s="25" t="s">
        <v>380</v>
      </c>
      <c r="G360" s="25" t="s">
        <v>66</v>
      </c>
      <c r="H360" s="22">
        <v>45</v>
      </c>
      <c r="I360" s="73"/>
      <c r="J360" s="8"/>
      <c r="K360" s="16"/>
    </row>
    <row r="361" spans="1:11" ht="45" x14ac:dyDescent="0.25">
      <c r="A361" s="73">
        <f t="shared" si="27"/>
        <v>333</v>
      </c>
      <c r="B361" s="23" t="s">
        <v>257</v>
      </c>
      <c r="C361" s="16" t="s">
        <v>6</v>
      </c>
      <c r="D361" s="76">
        <f>1.578*0.52*D360/1000</f>
        <v>9.8467200000000015E-3</v>
      </c>
      <c r="E361" s="75" t="s">
        <v>316</v>
      </c>
      <c r="F361" s="25" t="s">
        <v>380</v>
      </c>
      <c r="G361" s="25" t="s">
        <v>66</v>
      </c>
      <c r="H361" s="22">
        <v>45</v>
      </c>
      <c r="I361" s="73"/>
      <c r="J361" s="8"/>
      <c r="K361" s="16"/>
    </row>
    <row r="362" spans="1:11" ht="45" x14ac:dyDescent="0.25">
      <c r="A362" s="73">
        <f t="shared" si="27"/>
        <v>334</v>
      </c>
      <c r="B362" s="23" t="s">
        <v>259</v>
      </c>
      <c r="C362" s="16" t="s">
        <v>125</v>
      </c>
      <c r="D362" s="80">
        <v>3</v>
      </c>
      <c r="E362" s="75"/>
      <c r="F362" s="25" t="s">
        <v>380</v>
      </c>
      <c r="G362" s="25" t="s">
        <v>66</v>
      </c>
      <c r="H362" s="22">
        <v>45</v>
      </c>
      <c r="I362" s="73"/>
      <c r="J362" s="8"/>
      <c r="K362" s="16"/>
    </row>
    <row r="363" spans="1:11" ht="45" x14ac:dyDescent="0.25">
      <c r="A363" s="73">
        <f t="shared" si="27"/>
        <v>335</v>
      </c>
      <c r="B363" s="23" t="s">
        <v>260</v>
      </c>
      <c r="C363" s="16" t="s">
        <v>6</v>
      </c>
      <c r="D363" s="74">
        <f>60*D362/1000</f>
        <v>0.18</v>
      </c>
      <c r="E363" s="75" t="s">
        <v>317</v>
      </c>
      <c r="F363" s="25" t="s">
        <v>380</v>
      </c>
      <c r="G363" s="25" t="s">
        <v>66</v>
      </c>
      <c r="H363" s="22">
        <v>45</v>
      </c>
      <c r="I363" s="73"/>
      <c r="J363" s="8"/>
      <c r="K363" s="16"/>
    </row>
    <row r="364" spans="1:11" ht="45" x14ac:dyDescent="0.25">
      <c r="A364" s="73">
        <f t="shared" si="27"/>
        <v>336</v>
      </c>
      <c r="B364" s="23" t="s">
        <v>262</v>
      </c>
      <c r="C364" s="16" t="s">
        <v>30</v>
      </c>
      <c r="D364" s="74">
        <f>3*(5.9+2.6)*2-0.71^2*3.14*2+2.7*1.32*D362</f>
        <v>58.526251999999999</v>
      </c>
      <c r="E364" s="75" t="s">
        <v>318</v>
      </c>
      <c r="F364" s="25" t="s">
        <v>380</v>
      </c>
      <c r="G364" s="25" t="s">
        <v>66</v>
      </c>
      <c r="H364" s="22">
        <v>45</v>
      </c>
      <c r="I364" s="73"/>
      <c r="J364" s="8"/>
      <c r="K364" s="16"/>
    </row>
    <row r="365" spans="1:11" ht="45" x14ac:dyDescent="0.25">
      <c r="A365" s="73">
        <f t="shared" si="27"/>
        <v>337</v>
      </c>
      <c r="B365" s="23" t="s">
        <v>206</v>
      </c>
      <c r="C365" s="16" t="s">
        <v>30</v>
      </c>
      <c r="D365" s="74">
        <f>D364*1.15*2</f>
        <v>134.61037959999999</v>
      </c>
      <c r="E365" s="75" t="s">
        <v>319</v>
      </c>
      <c r="F365" s="25" t="s">
        <v>380</v>
      </c>
      <c r="G365" s="25" t="s">
        <v>66</v>
      </c>
      <c r="H365" s="22">
        <v>45</v>
      </c>
      <c r="I365" s="73"/>
      <c r="J365" s="8"/>
      <c r="K365" s="16"/>
    </row>
    <row r="366" spans="1:11" ht="45" x14ac:dyDescent="0.25">
      <c r="A366" s="73">
        <f t="shared" si="27"/>
        <v>338</v>
      </c>
      <c r="B366" s="23" t="s">
        <v>43</v>
      </c>
      <c r="C366" s="16" t="s">
        <v>31</v>
      </c>
      <c r="D366" s="74">
        <f>D364*0.16</f>
        <v>9.3642003200000001</v>
      </c>
      <c r="E366" s="75" t="s">
        <v>320</v>
      </c>
      <c r="F366" s="25" t="s">
        <v>380</v>
      </c>
      <c r="G366" s="25" t="s">
        <v>66</v>
      </c>
      <c r="H366" s="22">
        <v>45</v>
      </c>
      <c r="I366" s="73"/>
      <c r="J366" s="8"/>
      <c r="K366" s="16"/>
    </row>
    <row r="367" spans="1:11" ht="60" x14ac:dyDescent="0.25">
      <c r="A367" s="73">
        <f t="shared" si="27"/>
        <v>339</v>
      </c>
      <c r="B367" s="23" t="s">
        <v>266</v>
      </c>
      <c r="C367" s="16" t="s">
        <v>30</v>
      </c>
      <c r="D367" s="74">
        <f>5.96*2.38-0.35^2*3.14*D362</f>
        <v>13.030849999999999</v>
      </c>
      <c r="E367" s="75" t="s">
        <v>321</v>
      </c>
      <c r="F367" s="25" t="s">
        <v>380</v>
      </c>
      <c r="G367" s="25" t="s">
        <v>66</v>
      </c>
      <c r="H367" s="22">
        <v>45</v>
      </c>
      <c r="I367" s="73"/>
      <c r="J367" s="8"/>
      <c r="K367" s="16"/>
    </row>
    <row r="368" spans="1:11" ht="45" x14ac:dyDescent="0.25">
      <c r="A368" s="73">
        <f t="shared" si="27"/>
        <v>340</v>
      </c>
      <c r="B368" s="23" t="s">
        <v>206</v>
      </c>
      <c r="C368" s="16" t="s">
        <v>30</v>
      </c>
      <c r="D368" s="74">
        <f>D367*1.15*2</f>
        <v>29.970954999999996</v>
      </c>
      <c r="E368" s="75" t="s">
        <v>322</v>
      </c>
      <c r="F368" s="25" t="s">
        <v>380</v>
      </c>
      <c r="G368" s="25" t="s">
        <v>66</v>
      </c>
      <c r="H368" s="22">
        <v>45</v>
      </c>
      <c r="I368" s="73"/>
      <c r="J368" s="8"/>
      <c r="K368" s="16"/>
    </row>
    <row r="369" spans="1:11" ht="45" x14ac:dyDescent="0.25">
      <c r="A369" s="73">
        <f t="shared" si="27"/>
        <v>341</v>
      </c>
      <c r="B369" s="23" t="s">
        <v>43</v>
      </c>
      <c r="C369" s="16" t="s">
        <v>31</v>
      </c>
      <c r="D369" s="74">
        <f>D367*0.16</f>
        <v>2.0849359999999999</v>
      </c>
      <c r="E369" s="75" t="s">
        <v>323</v>
      </c>
      <c r="F369" s="25" t="s">
        <v>380</v>
      </c>
      <c r="G369" s="25" t="s">
        <v>66</v>
      </c>
      <c r="H369" s="22">
        <v>45</v>
      </c>
      <c r="I369" s="73"/>
      <c r="J369" s="8"/>
      <c r="K369" s="16"/>
    </row>
    <row r="370" spans="1:11" ht="45" x14ac:dyDescent="0.25">
      <c r="A370" s="73">
        <f t="shared" si="27"/>
        <v>342</v>
      </c>
      <c r="B370" s="23" t="s">
        <v>270</v>
      </c>
      <c r="C370" s="16" t="s">
        <v>21</v>
      </c>
      <c r="D370" s="76">
        <f>0.1*0.1/2*17.4</f>
        <v>8.7000000000000008E-2</v>
      </c>
      <c r="E370" s="75" t="s">
        <v>324</v>
      </c>
      <c r="F370" s="25" t="s">
        <v>380</v>
      </c>
      <c r="G370" s="25" t="s">
        <v>66</v>
      </c>
      <c r="H370" s="22">
        <v>45</v>
      </c>
      <c r="I370" s="73"/>
      <c r="J370" s="8"/>
      <c r="K370" s="16"/>
    </row>
    <row r="371" spans="1:11" ht="45" x14ac:dyDescent="0.25">
      <c r="A371" s="73">
        <f t="shared" si="27"/>
        <v>343</v>
      </c>
      <c r="B371" s="23" t="s">
        <v>272</v>
      </c>
      <c r="C371" s="16" t="s">
        <v>21</v>
      </c>
      <c r="D371" s="74">
        <f>D370*1.02</f>
        <v>8.8740000000000013E-2</v>
      </c>
      <c r="E371" s="75" t="s">
        <v>325</v>
      </c>
      <c r="F371" s="25" t="s">
        <v>380</v>
      </c>
      <c r="G371" s="25" t="s">
        <v>66</v>
      </c>
      <c r="H371" s="22">
        <v>45</v>
      </c>
      <c r="I371" s="73"/>
      <c r="J371" s="8"/>
      <c r="K371" s="16"/>
    </row>
    <row r="372" spans="1:11" ht="45" x14ac:dyDescent="0.25">
      <c r="A372" s="73">
        <f t="shared" si="27"/>
        <v>344</v>
      </c>
      <c r="B372" s="23" t="s">
        <v>274</v>
      </c>
      <c r="C372" s="16" t="s">
        <v>112</v>
      </c>
      <c r="D372" s="74">
        <f>(2.7+0.5)*4*D362</f>
        <v>38.400000000000006</v>
      </c>
      <c r="E372" s="75" t="s">
        <v>326</v>
      </c>
      <c r="F372" s="25" t="s">
        <v>380</v>
      </c>
      <c r="G372" s="25" t="s">
        <v>66</v>
      </c>
      <c r="H372" s="22">
        <v>45</v>
      </c>
      <c r="I372" s="73"/>
      <c r="J372" s="8"/>
      <c r="K372" s="16"/>
    </row>
    <row r="373" spans="1:11" ht="45" x14ac:dyDescent="0.25">
      <c r="A373" s="73">
        <f t="shared" si="27"/>
        <v>345</v>
      </c>
      <c r="B373" s="23" t="s">
        <v>276</v>
      </c>
      <c r="C373" s="16" t="s">
        <v>30</v>
      </c>
      <c r="D373" s="74">
        <f>D372*0.03*1.022</f>
        <v>1.1773440000000002</v>
      </c>
      <c r="E373" s="75" t="s">
        <v>327</v>
      </c>
      <c r="F373" s="25" t="s">
        <v>380</v>
      </c>
      <c r="G373" s="25" t="s">
        <v>66</v>
      </c>
      <c r="H373" s="22">
        <v>45</v>
      </c>
      <c r="I373" s="73"/>
      <c r="J373" s="8"/>
      <c r="K373" s="16"/>
    </row>
    <row r="374" spans="1:11" x14ac:dyDescent="0.25">
      <c r="A374" s="99" t="s">
        <v>381</v>
      </c>
      <c r="B374" s="100"/>
      <c r="C374" s="100"/>
      <c r="D374" s="100"/>
      <c r="E374" s="100"/>
      <c r="F374" s="100"/>
      <c r="G374" s="100"/>
      <c r="H374" s="100"/>
      <c r="I374" s="100"/>
      <c r="J374" s="100"/>
      <c r="K374" s="101"/>
    </row>
    <row r="375" spans="1:11" x14ac:dyDescent="0.25">
      <c r="A375" s="99" t="s">
        <v>26</v>
      </c>
      <c r="B375" s="100"/>
      <c r="C375" s="100"/>
      <c r="D375" s="100"/>
      <c r="E375" s="100"/>
      <c r="F375" s="100"/>
      <c r="G375" s="100"/>
      <c r="H375" s="100"/>
      <c r="I375" s="100"/>
      <c r="J375" s="100"/>
      <c r="K375" s="101"/>
    </row>
    <row r="376" spans="1:11" ht="60" x14ac:dyDescent="0.25">
      <c r="A376" s="16">
        <f>A373+1</f>
        <v>346</v>
      </c>
      <c r="B376" s="35" t="s">
        <v>328</v>
      </c>
      <c r="C376" s="16" t="s">
        <v>21</v>
      </c>
      <c r="D376" s="60">
        <f>0.125^2*3.14*1.8*D386</f>
        <v>11.568937500000001</v>
      </c>
      <c r="E376" s="22" t="s">
        <v>329</v>
      </c>
      <c r="F376" s="25" t="s">
        <v>382</v>
      </c>
      <c r="G376" s="25" t="s">
        <v>66</v>
      </c>
      <c r="H376" s="22" t="s">
        <v>433</v>
      </c>
      <c r="I376" s="36" t="s">
        <v>59</v>
      </c>
      <c r="J376" s="16"/>
      <c r="K376" s="16"/>
    </row>
    <row r="377" spans="1:11" ht="60" x14ac:dyDescent="0.25">
      <c r="A377" s="16">
        <f>A376+1</f>
        <v>347</v>
      </c>
      <c r="B377" s="35" t="s">
        <v>330</v>
      </c>
      <c r="C377" s="16" t="s">
        <v>21</v>
      </c>
      <c r="D377" s="60">
        <f>0.175^2*3.14*2.5*6</f>
        <v>1.4424375</v>
      </c>
      <c r="E377" s="22" t="s">
        <v>331</v>
      </c>
      <c r="F377" s="25" t="s">
        <v>382</v>
      </c>
      <c r="G377" s="25" t="s">
        <v>66</v>
      </c>
      <c r="H377" s="22" t="s">
        <v>433</v>
      </c>
      <c r="I377" s="36" t="s">
        <v>59</v>
      </c>
      <c r="J377" s="16"/>
      <c r="K377" s="16"/>
    </row>
    <row r="378" spans="1:11" ht="60" x14ac:dyDescent="0.25">
      <c r="A378" s="16">
        <f>A377+1</f>
        <v>348</v>
      </c>
      <c r="B378" s="35" t="s">
        <v>398</v>
      </c>
      <c r="C378" s="16" t="s">
        <v>6</v>
      </c>
      <c r="D378" s="60">
        <f>(D376+D377)*1.96</f>
        <v>25.502295</v>
      </c>
      <c r="E378" s="22" t="s">
        <v>332</v>
      </c>
      <c r="F378" s="25" t="s">
        <v>382</v>
      </c>
      <c r="G378" s="25" t="s">
        <v>66</v>
      </c>
      <c r="H378" s="22" t="s">
        <v>433</v>
      </c>
      <c r="I378" s="8"/>
      <c r="J378" s="16"/>
      <c r="K378" s="16"/>
    </row>
    <row r="379" spans="1:11" x14ac:dyDescent="0.25">
      <c r="A379" s="102" t="s">
        <v>27</v>
      </c>
      <c r="B379" s="103"/>
      <c r="C379" s="103"/>
      <c r="D379" s="103"/>
      <c r="E379" s="103"/>
      <c r="F379" s="103"/>
      <c r="G379" s="103"/>
      <c r="H379" s="103"/>
      <c r="I379" s="103"/>
      <c r="J379" s="103"/>
      <c r="K379" s="104"/>
    </row>
    <row r="380" spans="1:11" ht="60" x14ac:dyDescent="0.25">
      <c r="A380" s="16">
        <f>A378+1</f>
        <v>349</v>
      </c>
      <c r="B380" s="23" t="s">
        <v>333</v>
      </c>
      <c r="C380" s="16" t="s">
        <v>21</v>
      </c>
      <c r="D380" s="60">
        <f>0.125^2*3.14*0.1*125+0.175^2*3.14*0.1*6</f>
        <v>0.67097875000000007</v>
      </c>
      <c r="E380" s="23" t="s">
        <v>334</v>
      </c>
      <c r="F380" s="25" t="s">
        <v>382</v>
      </c>
      <c r="G380" s="25" t="s">
        <v>66</v>
      </c>
      <c r="H380" s="22" t="s">
        <v>433</v>
      </c>
      <c r="I380" s="20"/>
      <c r="J380" s="16"/>
      <c r="K380" s="16"/>
    </row>
    <row r="381" spans="1:11" ht="60" x14ac:dyDescent="0.25">
      <c r="A381" s="16">
        <f t="shared" ref="A381:A394" si="28">A380+1</f>
        <v>350</v>
      </c>
      <c r="B381" s="23" t="s">
        <v>146</v>
      </c>
      <c r="C381" s="16" t="s">
        <v>21</v>
      </c>
      <c r="D381" s="60">
        <f>D380*1.3</f>
        <v>0.8722723750000001</v>
      </c>
      <c r="E381" s="22" t="s">
        <v>335</v>
      </c>
      <c r="F381" s="25" t="s">
        <v>382</v>
      </c>
      <c r="G381" s="25" t="s">
        <v>66</v>
      </c>
      <c r="H381" s="22" t="s">
        <v>433</v>
      </c>
      <c r="I381" s="28" t="s">
        <v>391</v>
      </c>
      <c r="J381" s="16"/>
      <c r="K381" s="16"/>
    </row>
    <row r="382" spans="1:11" ht="60" x14ac:dyDescent="0.25">
      <c r="A382" s="16">
        <f t="shared" si="28"/>
        <v>351</v>
      </c>
      <c r="B382" s="23" t="s">
        <v>336</v>
      </c>
      <c r="C382" s="16" t="s">
        <v>30</v>
      </c>
      <c r="D382" s="60">
        <f>2*3.14*0.125*1.8*125+2*3.14*0.175*2.5*6</f>
        <v>193.11</v>
      </c>
      <c r="E382" s="23" t="s">
        <v>337</v>
      </c>
      <c r="F382" s="25" t="s">
        <v>382</v>
      </c>
      <c r="G382" s="25" t="s">
        <v>66</v>
      </c>
      <c r="H382" s="22" t="s">
        <v>433</v>
      </c>
      <c r="I382" s="20"/>
      <c r="J382" s="16"/>
      <c r="K382" s="16"/>
    </row>
    <row r="383" spans="1:11" ht="60" x14ac:dyDescent="0.25">
      <c r="A383" s="16">
        <f t="shared" si="28"/>
        <v>352</v>
      </c>
      <c r="B383" s="23" t="s">
        <v>338</v>
      </c>
      <c r="C383" s="16" t="s">
        <v>30</v>
      </c>
      <c r="D383" s="60">
        <f>D382</f>
        <v>193.11</v>
      </c>
      <c r="E383" s="23" t="s">
        <v>337</v>
      </c>
      <c r="F383" s="25" t="s">
        <v>382</v>
      </c>
      <c r="G383" s="25" t="s">
        <v>66</v>
      </c>
      <c r="H383" s="22" t="s">
        <v>433</v>
      </c>
      <c r="I383" s="20"/>
      <c r="J383" s="16"/>
      <c r="K383" s="16"/>
    </row>
    <row r="384" spans="1:11" ht="60" x14ac:dyDescent="0.25">
      <c r="A384" s="16">
        <f t="shared" si="28"/>
        <v>353</v>
      </c>
      <c r="B384" s="23" t="s">
        <v>339</v>
      </c>
      <c r="C384" s="16" t="s">
        <v>30</v>
      </c>
      <c r="D384" s="60">
        <f>0.125^2*3.14*125+0.175^2*3.14*6</f>
        <v>6.7097875</v>
      </c>
      <c r="E384" s="23" t="s">
        <v>340</v>
      </c>
      <c r="F384" s="25" t="s">
        <v>382</v>
      </c>
      <c r="G384" s="25" t="s">
        <v>66</v>
      </c>
      <c r="H384" s="22" t="s">
        <v>433</v>
      </c>
      <c r="I384" s="20"/>
      <c r="J384" s="16"/>
      <c r="K384" s="16"/>
    </row>
    <row r="385" spans="1:11" ht="60" x14ac:dyDescent="0.25">
      <c r="A385" s="16">
        <f t="shared" si="28"/>
        <v>354</v>
      </c>
      <c r="B385" s="23" t="s">
        <v>338</v>
      </c>
      <c r="C385" s="16" t="s">
        <v>30</v>
      </c>
      <c r="D385" s="60">
        <f>D384</f>
        <v>6.7097875</v>
      </c>
      <c r="E385" s="23" t="s">
        <v>340</v>
      </c>
      <c r="F385" s="25" t="s">
        <v>382</v>
      </c>
      <c r="G385" s="25" t="s">
        <v>66</v>
      </c>
      <c r="H385" s="22" t="s">
        <v>433</v>
      </c>
      <c r="I385" s="20"/>
      <c r="J385" s="16"/>
      <c r="K385" s="16"/>
    </row>
    <row r="386" spans="1:11" ht="60" x14ac:dyDescent="0.25">
      <c r="A386" s="16">
        <f t="shared" si="28"/>
        <v>355</v>
      </c>
      <c r="B386" s="23" t="s">
        <v>341</v>
      </c>
      <c r="C386" s="16" t="s">
        <v>342</v>
      </c>
      <c r="D386" s="16">
        <f>125+6</f>
        <v>131</v>
      </c>
      <c r="E386" s="23" t="s">
        <v>343</v>
      </c>
      <c r="F386" s="25" t="s">
        <v>382</v>
      </c>
      <c r="G386" s="25" t="s">
        <v>66</v>
      </c>
      <c r="H386" s="22" t="s">
        <v>433</v>
      </c>
      <c r="I386" s="20"/>
      <c r="J386" s="16"/>
      <c r="K386" s="16"/>
    </row>
    <row r="387" spans="1:11" ht="60" x14ac:dyDescent="0.25">
      <c r="A387" s="16">
        <f t="shared" si="28"/>
        <v>356</v>
      </c>
      <c r="B387" s="23" t="s">
        <v>344</v>
      </c>
      <c r="C387" s="16" t="s">
        <v>6</v>
      </c>
      <c r="D387" s="60">
        <f>14.41*3.6*6/1000</f>
        <v>0.31125600000000003</v>
      </c>
      <c r="E387" s="23" t="s">
        <v>345</v>
      </c>
      <c r="F387" s="25" t="s">
        <v>382</v>
      </c>
      <c r="G387" s="25" t="s">
        <v>66</v>
      </c>
      <c r="H387" s="22" t="s">
        <v>433</v>
      </c>
      <c r="I387" s="20"/>
      <c r="J387" s="16"/>
      <c r="K387" s="16"/>
    </row>
    <row r="388" spans="1:11" ht="60" x14ac:dyDescent="0.25">
      <c r="A388" s="16">
        <f t="shared" si="28"/>
        <v>357</v>
      </c>
      <c r="B388" s="23" t="s">
        <v>346</v>
      </c>
      <c r="C388" s="16" t="s">
        <v>6</v>
      </c>
      <c r="D388" s="60">
        <f>5.96*3*125/1000</f>
        <v>2.2349999999999999</v>
      </c>
      <c r="E388" s="23" t="s">
        <v>347</v>
      </c>
      <c r="F388" s="25" t="s">
        <v>382</v>
      </c>
      <c r="G388" s="25" t="s">
        <v>66</v>
      </c>
      <c r="H388" s="22" t="s">
        <v>433</v>
      </c>
      <c r="I388" s="20"/>
      <c r="J388" s="16"/>
      <c r="K388" s="16"/>
    </row>
    <row r="389" spans="1:11" ht="60" x14ac:dyDescent="0.25">
      <c r="A389" s="16">
        <f t="shared" si="28"/>
        <v>358</v>
      </c>
      <c r="B389" s="23" t="s">
        <v>348</v>
      </c>
      <c r="C389" s="16" t="s">
        <v>21</v>
      </c>
      <c r="D389" s="60">
        <f>0.125^2*3.14*1.7*125+0.175^2*3.14*2.4*6</f>
        <v>11.810521250000001</v>
      </c>
      <c r="E389" s="23" t="s">
        <v>349</v>
      </c>
      <c r="F389" s="25" t="s">
        <v>382</v>
      </c>
      <c r="G389" s="25" t="s">
        <v>66</v>
      </c>
      <c r="H389" s="22" t="s">
        <v>433</v>
      </c>
      <c r="I389" s="20"/>
      <c r="J389" s="16"/>
      <c r="K389" s="16"/>
    </row>
    <row r="390" spans="1:11" ht="60" x14ac:dyDescent="0.25">
      <c r="A390" s="16">
        <f t="shared" si="28"/>
        <v>359</v>
      </c>
      <c r="B390" s="23" t="s">
        <v>350</v>
      </c>
      <c r="C390" s="16" t="s">
        <v>342</v>
      </c>
      <c r="D390" s="16">
        <v>14</v>
      </c>
      <c r="E390" s="23"/>
      <c r="F390" s="25" t="s">
        <v>382</v>
      </c>
      <c r="G390" s="25" t="s">
        <v>66</v>
      </c>
      <c r="H390" s="22" t="s">
        <v>433</v>
      </c>
      <c r="I390" s="20"/>
      <c r="J390" s="16"/>
      <c r="K390" s="16"/>
    </row>
    <row r="391" spans="1:11" ht="60" x14ac:dyDescent="0.25">
      <c r="A391" s="16">
        <f t="shared" si="28"/>
        <v>360</v>
      </c>
      <c r="B391" s="23" t="s">
        <v>351</v>
      </c>
      <c r="C391" s="16" t="s">
        <v>342</v>
      </c>
      <c r="D391" s="16">
        <v>112</v>
      </c>
      <c r="E391" s="23"/>
      <c r="F391" s="25" t="s">
        <v>382</v>
      </c>
      <c r="G391" s="25" t="s">
        <v>66</v>
      </c>
      <c r="H391" s="22" t="s">
        <v>433</v>
      </c>
      <c r="I391" s="20"/>
      <c r="J391" s="16"/>
      <c r="K391" s="16"/>
    </row>
    <row r="392" spans="1:11" ht="60" x14ac:dyDescent="0.25">
      <c r="A392" s="16">
        <f t="shared" si="28"/>
        <v>361</v>
      </c>
      <c r="B392" s="25" t="s">
        <v>352</v>
      </c>
      <c r="C392" s="16" t="s">
        <v>342</v>
      </c>
      <c r="D392" s="16">
        <v>3</v>
      </c>
      <c r="E392" s="23"/>
      <c r="F392" s="25" t="s">
        <v>382</v>
      </c>
      <c r="G392" s="25" t="s">
        <v>66</v>
      </c>
      <c r="H392" s="22" t="s">
        <v>433</v>
      </c>
      <c r="I392" s="20"/>
      <c r="J392" s="16"/>
      <c r="K392" s="16"/>
    </row>
    <row r="393" spans="1:11" ht="60" x14ac:dyDescent="0.25">
      <c r="A393" s="16">
        <f t="shared" si="28"/>
        <v>362</v>
      </c>
      <c r="B393" s="23" t="s">
        <v>353</v>
      </c>
      <c r="C393" s="16" t="s">
        <v>148</v>
      </c>
      <c r="D393" s="16">
        <f>(33.1+20.3)*2+(69.5+67.4)*2</f>
        <v>380.6</v>
      </c>
      <c r="E393" s="25" t="s">
        <v>354</v>
      </c>
      <c r="F393" s="25" t="s">
        <v>382</v>
      </c>
      <c r="G393" s="25" t="s">
        <v>66</v>
      </c>
      <c r="H393" s="22" t="s">
        <v>433</v>
      </c>
      <c r="I393" s="20"/>
      <c r="J393" s="16"/>
      <c r="K393" s="16"/>
    </row>
    <row r="394" spans="1:11" ht="60" x14ac:dyDescent="0.25">
      <c r="A394" s="16">
        <f t="shared" si="28"/>
        <v>363</v>
      </c>
      <c r="B394" s="25" t="s">
        <v>355</v>
      </c>
      <c r="C394" s="16" t="s">
        <v>148</v>
      </c>
      <c r="D394" s="16">
        <f>D393</f>
        <v>380.6</v>
      </c>
      <c r="E394" s="25" t="s">
        <v>354</v>
      </c>
      <c r="F394" s="25" t="s">
        <v>382</v>
      </c>
      <c r="G394" s="25" t="s">
        <v>66</v>
      </c>
      <c r="H394" s="22" t="s">
        <v>433</v>
      </c>
      <c r="I394" s="20"/>
      <c r="J394" s="16"/>
      <c r="K394" s="16"/>
    </row>
    <row r="395" spans="1:11" x14ac:dyDescent="0.25">
      <c r="A395" s="95" t="s">
        <v>383</v>
      </c>
      <c r="B395" s="95"/>
      <c r="C395" s="95"/>
      <c r="D395" s="95"/>
      <c r="E395" s="95"/>
      <c r="F395" s="95"/>
      <c r="G395" s="95"/>
      <c r="H395" s="95"/>
      <c r="I395" s="95"/>
      <c r="J395" s="95"/>
      <c r="K395" s="95"/>
    </row>
    <row r="396" spans="1:11" x14ac:dyDescent="0.25">
      <c r="A396" s="95" t="s">
        <v>26</v>
      </c>
      <c r="B396" s="95"/>
      <c r="C396" s="95"/>
      <c r="D396" s="95"/>
      <c r="E396" s="95"/>
      <c r="F396" s="95"/>
      <c r="G396" s="95"/>
      <c r="H396" s="95"/>
      <c r="I396" s="95"/>
      <c r="J396" s="95"/>
      <c r="K396" s="95"/>
    </row>
    <row r="397" spans="1:11" ht="90" x14ac:dyDescent="0.25">
      <c r="A397" s="73">
        <f>A394+1</f>
        <v>364</v>
      </c>
      <c r="B397" s="35" t="s">
        <v>45</v>
      </c>
      <c r="C397" s="26" t="s">
        <v>21</v>
      </c>
      <c r="D397" s="74">
        <f>(58.87+168.73)/2*3.44</f>
        <v>391.47199999999998</v>
      </c>
      <c r="E397" s="75" t="s">
        <v>356</v>
      </c>
      <c r="F397" s="25" t="s">
        <v>384</v>
      </c>
      <c r="G397" s="25" t="s">
        <v>66</v>
      </c>
      <c r="H397" s="22">
        <v>50</v>
      </c>
      <c r="I397" s="36" t="s">
        <v>59</v>
      </c>
      <c r="J397" s="8"/>
      <c r="K397" s="16"/>
    </row>
    <row r="398" spans="1:11" ht="60" x14ac:dyDescent="0.25">
      <c r="A398" s="73">
        <f t="shared" ref="A398:A404" si="29">A397+1</f>
        <v>365</v>
      </c>
      <c r="B398" s="35" t="s">
        <v>398</v>
      </c>
      <c r="C398" s="16" t="s">
        <v>6</v>
      </c>
      <c r="D398" s="74">
        <f>(391.47-132.52)*1.96</f>
        <v>507.54200000000009</v>
      </c>
      <c r="E398" s="75" t="s">
        <v>357</v>
      </c>
      <c r="F398" s="25" t="s">
        <v>384</v>
      </c>
      <c r="G398" s="25" t="s">
        <v>66</v>
      </c>
      <c r="H398" s="22">
        <v>50</v>
      </c>
      <c r="I398" s="8"/>
      <c r="J398" s="8"/>
      <c r="K398" s="16"/>
    </row>
    <row r="399" spans="1:11" ht="45" x14ac:dyDescent="0.25">
      <c r="A399" s="73">
        <f t="shared" si="29"/>
        <v>366</v>
      </c>
      <c r="B399" s="25" t="s">
        <v>46</v>
      </c>
      <c r="C399" s="16" t="s">
        <v>21</v>
      </c>
      <c r="D399" s="74">
        <f>(131.3+168.73)/2*1-2.38*7.35*1</f>
        <v>132.52199999999999</v>
      </c>
      <c r="E399" s="75" t="s">
        <v>358</v>
      </c>
      <c r="F399" s="25" t="s">
        <v>384</v>
      </c>
      <c r="G399" s="25" t="s">
        <v>66</v>
      </c>
      <c r="H399" s="22">
        <v>50</v>
      </c>
      <c r="I399" s="73"/>
      <c r="J399" s="8"/>
      <c r="K399" s="16"/>
    </row>
    <row r="400" spans="1:11" ht="45" x14ac:dyDescent="0.25">
      <c r="A400" s="73">
        <f t="shared" si="29"/>
        <v>367</v>
      </c>
      <c r="B400" s="25" t="s">
        <v>33</v>
      </c>
      <c r="C400" s="16" t="s">
        <v>21</v>
      </c>
      <c r="D400" s="74">
        <f>D399</f>
        <v>132.52199999999999</v>
      </c>
      <c r="E400" s="75" t="s">
        <v>358</v>
      </c>
      <c r="F400" s="25" t="s">
        <v>384</v>
      </c>
      <c r="G400" s="25" t="s">
        <v>66</v>
      </c>
      <c r="H400" s="22">
        <v>50</v>
      </c>
      <c r="I400" s="73"/>
      <c r="J400" s="8"/>
      <c r="K400" s="16"/>
    </row>
    <row r="401" spans="1:11" ht="45" x14ac:dyDescent="0.25">
      <c r="A401" s="73">
        <f t="shared" si="29"/>
        <v>368</v>
      </c>
      <c r="B401" s="25" t="s">
        <v>158</v>
      </c>
      <c r="C401" s="16" t="s">
        <v>21</v>
      </c>
      <c r="D401" s="74">
        <f>(58.87+131.3)/2*2.44-2.38*7.35*1.94-D406-D411</f>
        <v>183.72088000000002</v>
      </c>
      <c r="E401" s="75" t="s">
        <v>359</v>
      </c>
      <c r="F401" s="25" t="s">
        <v>384</v>
      </c>
      <c r="G401" s="25" t="s">
        <v>66</v>
      </c>
      <c r="H401" s="22">
        <v>50</v>
      </c>
      <c r="I401" s="73"/>
      <c r="J401" s="8"/>
      <c r="K401" s="16"/>
    </row>
    <row r="402" spans="1:11" ht="45" x14ac:dyDescent="0.25">
      <c r="A402" s="73">
        <f t="shared" si="29"/>
        <v>369</v>
      </c>
      <c r="B402" s="25" t="s">
        <v>33</v>
      </c>
      <c r="C402" s="16" t="s">
        <v>21</v>
      </c>
      <c r="D402" s="74">
        <f>D401</f>
        <v>183.72088000000002</v>
      </c>
      <c r="E402" s="75" t="s">
        <v>359</v>
      </c>
      <c r="F402" s="25" t="s">
        <v>384</v>
      </c>
      <c r="G402" s="25" t="s">
        <v>66</v>
      </c>
      <c r="H402" s="22">
        <v>50</v>
      </c>
      <c r="I402" s="73"/>
      <c r="J402" s="8"/>
      <c r="K402" s="16"/>
    </row>
    <row r="403" spans="1:11" ht="45" x14ac:dyDescent="0.25">
      <c r="A403" s="73">
        <f t="shared" si="29"/>
        <v>370</v>
      </c>
      <c r="B403" s="25" t="s">
        <v>160</v>
      </c>
      <c r="C403" s="16" t="s">
        <v>21</v>
      </c>
      <c r="D403" s="74">
        <f>D401</f>
        <v>183.72088000000002</v>
      </c>
      <c r="E403" s="75" t="s">
        <v>359</v>
      </c>
      <c r="F403" s="25" t="s">
        <v>384</v>
      </c>
      <c r="G403" s="25" t="s">
        <v>66</v>
      </c>
      <c r="H403" s="22">
        <v>50</v>
      </c>
      <c r="I403" s="73"/>
      <c r="J403" s="8"/>
      <c r="K403" s="16"/>
    </row>
    <row r="404" spans="1:11" ht="45" x14ac:dyDescent="0.25">
      <c r="A404" s="73">
        <f t="shared" si="29"/>
        <v>371</v>
      </c>
      <c r="B404" s="23" t="s">
        <v>431</v>
      </c>
      <c r="C404" s="16" t="s">
        <v>21</v>
      </c>
      <c r="D404" s="74">
        <f>D402*1.23</f>
        <v>225.97668240000002</v>
      </c>
      <c r="E404" s="75" t="s">
        <v>360</v>
      </c>
      <c r="F404" s="25" t="s">
        <v>384</v>
      </c>
      <c r="G404" s="25" t="s">
        <v>66</v>
      </c>
      <c r="H404" s="22">
        <v>50</v>
      </c>
      <c r="I404" s="28" t="s">
        <v>389</v>
      </c>
      <c r="J404" s="8"/>
      <c r="K404" s="16"/>
    </row>
    <row r="405" spans="1:11" x14ac:dyDescent="0.25">
      <c r="A405" s="95" t="s">
        <v>27</v>
      </c>
      <c r="B405" s="95"/>
      <c r="C405" s="95"/>
      <c r="D405" s="95"/>
      <c r="E405" s="95"/>
      <c r="F405" s="95"/>
      <c r="G405" s="95"/>
      <c r="H405" s="95"/>
      <c r="I405" s="95"/>
      <c r="J405" s="95"/>
      <c r="K405" s="95"/>
    </row>
    <row r="406" spans="1:11" ht="45" x14ac:dyDescent="0.25">
      <c r="A406" s="73">
        <f>A404+1</f>
        <v>372</v>
      </c>
      <c r="B406" s="23" t="s">
        <v>162</v>
      </c>
      <c r="C406" s="16" t="s">
        <v>21</v>
      </c>
      <c r="D406" s="74">
        <f>8.55*3.58*0.1</f>
        <v>3.0609000000000002</v>
      </c>
      <c r="E406" s="75" t="s">
        <v>361</v>
      </c>
      <c r="F406" s="25" t="s">
        <v>384</v>
      </c>
      <c r="G406" s="25" t="s">
        <v>66</v>
      </c>
      <c r="H406" s="22">
        <v>50</v>
      </c>
      <c r="I406" s="73"/>
      <c r="J406" s="8"/>
      <c r="K406" s="16"/>
    </row>
    <row r="407" spans="1:11" ht="45" x14ac:dyDescent="0.25">
      <c r="A407" s="73">
        <f t="shared" ref="A407:A415" si="30">A406+1</f>
        <v>373</v>
      </c>
      <c r="B407" s="23" t="s">
        <v>164</v>
      </c>
      <c r="C407" s="16" t="s">
        <v>21</v>
      </c>
      <c r="D407" s="74">
        <f>D406</f>
        <v>3.0609000000000002</v>
      </c>
      <c r="E407" s="75" t="s">
        <v>361</v>
      </c>
      <c r="F407" s="25" t="s">
        <v>384</v>
      </c>
      <c r="G407" s="25" t="s">
        <v>66</v>
      </c>
      <c r="H407" s="22">
        <v>50</v>
      </c>
      <c r="I407" s="73"/>
      <c r="J407" s="8"/>
      <c r="K407" s="16"/>
    </row>
    <row r="408" spans="1:11" ht="45" x14ac:dyDescent="0.25">
      <c r="A408" s="73">
        <f t="shared" si="30"/>
        <v>374</v>
      </c>
      <c r="B408" s="23" t="s">
        <v>28</v>
      </c>
      <c r="C408" s="16" t="s">
        <v>6</v>
      </c>
      <c r="D408" s="76">
        <f>D409+D410</f>
        <v>0.7851207</v>
      </c>
      <c r="E408" s="75" t="s">
        <v>362</v>
      </c>
      <c r="F408" s="25" t="s">
        <v>384</v>
      </c>
      <c r="G408" s="25" t="s">
        <v>66</v>
      </c>
      <c r="H408" s="22">
        <v>50</v>
      </c>
      <c r="I408" s="73"/>
      <c r="J408" s="8"/>
      <c r="K408" s="16"/>
    </row>
    <row r="409" spans="1:11" ht="45" x14ac:dyDescent="0.25">
      <c r="A409" s="73">
        <f t="shared" si="30"/>
        <v>375</v>
      </c>
      <c r="B409" s="23" t="s">
        <v>32</v>
      </c>
      <c r="C409" s="16" t="s">
        <v>6</v>
      </c>
      <c r="D409" s="76">
        <f>0.888*(8.3*34+3.33*84+1.89*102)/1000</f>
        <v>0.67017360000000004</v>
      </c>
      <c r="E409" s="75" t="s">
        <v>363</v>
      </c>
      <c r="F409" s="25" t="s">
        <v>384</v>
      </c>
      <c r="G409" s="25" t="s">
        <v>66</v>
      </c>
      <c r="H409" s="22">
        <v>50</v>
      </c>
      <c r="I409" s="73"/>
      <c r="J409" s="8"/>
      <c r="K409" s="16"/>
    </row>
    <row r="410" spans="1:11" ht="45" x14ac:dyDescent="0.25">
      <c r="A410" s="73">
        <f t="shared" si="30"/>
        <v>376</v>
      </c>
      <c r="B410" s="23" t="s">
        <v>165</v>
      </c>
      <c r="C410" s="16" t="s">
        <v>6</v>
      </c>
      <c r="D410" s="76">
        <f>0.617*(3.33*36+0.82*81)/1000</f>
        <v>0.11494710000000001</v>
      </c>
      <c r="E410" s="75" t="s">
        <v>364</v>
      </c>
      <c r="F410" s="25" t="s">
        <v>384</v>
      </c>
      <c r="G410" s="25" t="s">
        <v>66</v>
      </c>
      <c r="H410" s="22">
        <v>50</v>
      </c>
      <c r="I410" s="73"/>
      <c r="J410" s="8"/>
      <c r="K410" s="16"/>
    </row>
    <row r="411" spans="1:11" ht="45" x14ac:dyDescent="0.25">
      <c r="A411" s="73">
        <f t="shared" si="30"/>
        <v>377</v>
      </c>
      <c r="B411" s="23" t="s">
        <v>48</v>
      </c>
      <c r="C411" s="16" t="s">
        <v>21</v>
      </c>
      <c r="D411" s="74">
        <f>8.35*3.38*0.4</f>
        <v>11.289200000000001</v>
      </c>
      <c r="E411" s="75" t="s">
        <v>365</v>
      </c>
      <c r="F411" s="25" t="s">
        <v>384</v>
      </c>
      <c r="G411" s="25" t="s">
        <v>66</v>
      </c>
      <c r="H411" s="22">
        <v>50</v>
      </c>
      <c r="I411" s="73"/>
      <c r="J411" s="8"/>
      <c r="K411" s="16"/>
    </row>
    <row r="412" spans="1:11" ht="45" x14ac:dyDescent="0.25">
      <c r="A412" s="73">
        <f t="shared" si="30"/>
        <v>378</v>
      </c>
      <c r="B412" s="23" t="s">
        <v>168</v>
      </c>
      <c r="C412" s="16" t="s">
        <v>21</v>
      </c>
      <c r="D412" s="74">
        <f>D411</f>
        <v>11.289200000000001</v>
      </c>
      <c r="E412" s="75" t="s">
        <v>365</v>
      </c>
      <c r="F412" s="25" t="s">
        <v>384</v>
      </c>
      <c r="G412" s="25" t="s">
        <v>66</v>
      </c>
      <c r="H412" s="22">
        <v>50</v>
      </c>
      <c r="I412" s="73"/>
      <c r="J412" s="8"/>
      <c r="K412" s="16"/>
    </row>
    <row r="413" spans="1:11" ht="45" x14ac:dyDescent="0.25">
      <c r="A413" s="73">
        <f t="shared" si="30"/>
        <v>379</v>
      </c>
      <c r="B413" s="23" t="s">
        <v>169</v>
      </c>
      <c r="C413" s="16" t="s">
        <v>30</v>
      </c>
      <c r="D413" s="74">
        <f>8.35*3.38+23.46*0.4</f>
        <v>37.606999999999999</v>
      </c>
      <c r="E413" s="75" t="s">
        <v>366</v>
      </c>
      <c r="F413" s="25" t="s">
        <v>384</v>
      </c>
      <c r="G413" s="25" t="s">
        <v>66</v>
      </c>
      <c r="H413" s="22">
        <v>50</v>
      </c>
      <c r="I413" s="73"/>
      <c r="J413" s="8"/>
      <c r="K413" s="16"/>
    </row>
    <row r="414" spans="1:11" ht="45" x14ac:dyDescent="0.25">
      <c r="A414" s="73">
        <f t="shared" si="30"/>
        <v>380</v>
      </c>
      <c r="B414" s="23" t="s">
        <v>42</v>
      </c>
      <c r="C414" s="16" t="s">
        <v>31</v>
      </c>
      <c r="D414" s="74">
        <f>D413*5</f>
        <v>188.035</v>
      </c>
      <c r="E414" s="75" t="s">
        <v>367</v>
      </c>
      <c r="F414" s="25" t="s">
        <v>384</v>
      </c>
      <c r="G414" s="25" t="s">
        <v>66</v>
      </c>
      <c r="H414" s="22">
        <v>50</v>
      </c>
      <c r="I414" s="73"/>
      <c r="J414" s="8"/>
      <c r="K414" s="16"/>
    </row>
    <row r="415" spans="1:11" ht="45" x14ac:dyDescent="0.25">
      <c r="A415" s="73">
        <f t="shared" si="30"/>
        <v>381</v>
      </c>
      <c r="B415" s="23" t="s">
        <v>43</v>
      </c>
      <c r="C415" s="16" t="s">
        <v>31</v>
      </c>
      <c r="D415" s="74">
        <f>D413*0.16</f>
        <v>6.0171200000000002</v>
      </c>
      <c r="E415" s="75" t="s">
        <v>368</v>
      </c>
      <c r="F415" s="25" t="s">
        <v>384</v>
      </c>
      <c r="G415" s="25" t="s">
        <v>66</v>
      </c>
      <c r="H415" s="22">
        <v>50</v>
      </c>
      <c r="I415" s="73"/>
      <c r="J415" s="8"/>
      <c r="K415" s="16"/>
    </row>
    <row r="416" spans="1:11" s="5" customFormat="1" x14ac:dyDescent="0.25">
      <c r="A416" s="96" t="s">
        <v>401</v>
      </c>
      <c r="B416" s="97"/>
      <c r="C416" s="97"/>
      <c r="D416" s="97"/>
      <c r="E416" s="97"/>
      <c r="F416" s="97"/>
      <c r="G416" s="97"/>
      <c r="H416" s="97"/>
      <c r="I416" s="97"/>
      <c r="J416" s="97"/>
      <c r="K416" s="98"/>
    </row>
    <row r="417" spans="1:11" s="5" customFormat="1" x14ac:dyDescent="0.25">
      <c r="A417" s="96" t="s">
        <v>26</v>
      </c>
      <c r="B417" s="97"/>
      <c r="C417" s="97"/>
      <c r="D417" s="97"/>
      <c r="E417" s="97"/>
      <c r="F417" s="97"/>
      <c r="G417" s="97"/>
      <c r="H417" s="97"/>
      <c r="I417" s="97"/>
      <c r="J417" s="97"/>
      <c r="K417" s="98"/>
    </row>
    <row r="418" spans="1:11" s="5" customFormat="1" ht="90" x14ac:dyDescent="0.25">
      <c r="A418" s="82">
        <f>A415+1</f>
        <v>382</v>
      </c>
      <c r="B418" s="35" t="s">
        <v>45</v>
      </c>
      <c r="C418" s="26" t="s">
        <v>21</v>
      </c>
      <c r="D418" s="83">
        <f>8.46*4.84*0.4</f>
        <v>16.378560000000004</v>
      </c>
      <c r="E418" s="84" t="s">
        <v>399</v>
      </c>
      <c r="F418" s="24" t="s">
        <v>411</v>
      </c>
      <c r="G418" s="25" t="s">
        <v>66</v>
      </c>
      <c r="H418" s="81">
        <v>51</v>
      </c>
      <c r="I418" s="36" t="s">
        <v>59</v>
      </c>
      <c r="J418" s="8"/>
      <c r="K418" s="16"/>
    </row>
    <row r="419" spans="1:11" s="5" customFormat="1" ht="60" x14ac:dyDescent="0.25">
      <c r="A419" s="82">
        <f>A418+1</f>
        <v>383</v>
      </c>
      <c r="B419" s="35" t="s">
        <v>398</v>
      </c>
      <c r="C419" s="16" t="s">
        <v>6</v>
      </c>
      <c r="D419" s="83">
        <f>(D418-D420)*1.96</f>
        <v>14.739199999999999</v>
      </c>
      <c r="E419" s="85" t="s">
        <v>402</v>
      </c>
      <c r="F419" s="24" t="s">
        <v>411</v>
      </c>
      <c r="G419" s="25" t="s">
        <v>66</v>
      </c>
      <c r="H419" s="81">
        <v>51</v>
      </c>
      <c r="I419" s="8"/>
      <c r="J419" s="8"/>
      <c r="K419" s="16"/>
    </row>
    <row r="420" spans="1:11" s="5" customFormat="1" ht="45" x14ac:dyDescent="0.25">
      <c r="A420" s="82">
        <f t="shared" ref="A420:A421" si="31">A419+1</f>
        <v>384</v>
      </c>
      <c r="B420" s="25" t="s">
        <v>46</v>
      </c>
      <c r="C420" s="16" t="s">
        <v>21</v>
      </c>
      <c r="D420" s="83">
        <f>D418-2.02-5.5</f>
        <v>8.8585600000000042</v>
      </c>
      <c r="E420" s="84" t="s">
        <v>400</v>
      </c>
      <c r="F420" s="24" t="s">
        <v>411</v>
      </c>
      <c r="G420" s="25" t="s">
        <v>66</v>
      </c>
      <c r="H420" s="81">
        <v>51</v>
      </c>
      <c r="I420" s="8"/>
      <c r="J420" s="8"/>
      <c r="K420" s="16"/>
    </row>
    <row r="421" spans="1:11" s="5" customFormat="1" ht="45" x14ac:dyDescent="0.25">
      <c r="A421" s="82">
        <f t="shared" si="31"/>
        <v>385</v>
      </c>
      <c r="B421" s="25" t="s">
        <v>33</v>
      </c>
      <c r="C421" s="16" t="s">
        <v>21</v>
      </c>
      <c r="D421" s="83">
        <f>D420</f>
        <v>8.8585600000000042</v>
      </c>
      <c r="E421" s="84" t="s">
        <v>400</v>
      </c>
      <c r="F421" s="24" t="s">
        <v>411</v>
      </c>
      <c r="G421" s="25" t="s">
        <v>66</v>
      </c>
      <c r="H421" s="81">
        <v>51</v>
      </c>
      <c r="I421" s="86"/>
      <c r="J421" s="8"/>
      <c r="K421" s="16"/>
    </row>
    <row r="422" spans="1:11" s="5" customFormat="1" x14ac:dyDescent="0.25">
      <c r="A422" s="96" t="s">
        <v>27</v>
      </c>
      <c r="B422" s="97"/>
      <c r="C422" s="97"/>
      <c r="D422" s="97"/>
      <c r="E422" s="97"/>
      <c r="F422" s="97"/>
      <c r="G422" s="97"/>
      <c r="H422" s="97"/>
      <c r="I422" s="97"/>
      <c r="J422" s="97"/>
      <c r="K422" s="98"/>
    </row>
    <row r="423" spans="1:11" s="5" customFormat="1" ht="45" x14ac:dyDescent="0.25">
      <c r="A423" s="82">
        <f>A421+1</f>
        <v>386</v>
      </c>
      <c r="B423" s="25" t="s">
        <v>40</v>
      </c>
      <c r="C423" s="16" t="s">
        <v>21</v>
      </c>
      <c r="D423" s="83">
        <f>6.66*3.04*0.1</f>
        <v>2.0246400000000002</v>
      </c>
      <c r="E423" s="84" t="s">
        <v>403</v>
      </c>
      <c r="F423" s="24" t="s">
        <v>411</v>
      </c>
      <c r="G423" s="25" t="s">
        <v>66</v>
      </c>
      <c r="H423" s="81">
        <v>51</v>
      </c>
      <c r="I423" s="86"/>
      <c r="J423" s="8"/>
      <c r="K423" s="16"/>
    </row>
    <row r="424" spans="1:11" s="5" customFormat="1" ht="45" x14ac:dyDescent="0.25">
      <c r="A424" s="82">
        <f>A423+1</f>
        <v>387</v>
      </c>
      <c r="B424" s="25" t="s">
        <v>36</v>
      </c>
      <c r="C424" s="16" t="s">
        <v>21</v>
      </c>
      <c r="D424" s="83">
        <f>D423</f>
        <v>2.0246400000000002</v>
      </c>
      <c r="E424" s="84" t="s">
        <v>403</v>
      </c>
      <c r="F424" s="24" t="s">
        <v>411</v>
      </c>
      <c r="G424" s="25" t="s">
        <v>66</v>
      </c>
      <c r="H424" s="81">
        <v>51</v>
      </c>
      <c r="I424" s="86"/>
      <c r="J424" s="8"/>
      <c r="K424" s="16"/>
    </row>
    <row r="425" spans="1:11" s="5" customFormat="1" ht="45" x14ac:dyDescent="0.25">
      <c r="A425" s="82">
        <f t="shared" ref="A425:A432" si="32">A424+1</f>
        <v>388</v>
      </c>
      <c r="B425" s="23" t="s">
        <v>28</v>
      </c>
      <c r="C425" s="16" t="s">
        <v>6</v>
      </c>
      <c r="D425" s="87">
        <f>D426+D427</f>
        <v>0.45817452000000003</v>
      </c>
      <c r="E425" s="84" t="s">
        <v>406</v>
      </c>
      <c r="F425" s="24" t="s">
        <v>411</v>
      </c>
      <c r="G425" s="25" t="s">
        <v>66</v>
      </c>
      <c r="H425" s="81">
        <v>51</v>
      </c>
      <c r="I425" s="86"/>
      <c r="J425" s="8"/>
      <c r="K425" s="16"/>
    </row>
    <row r="426" spans="1:11" s="5" customFormat="1" ht="45" x14ac:dyDescent="0.25">
      <c r="A426" s="82">
        <f t="shared" si="32"/>
        <v>389</v>
      </c>
      <c r="B426" s="23" t="s">
        <v>32</v>
      </c>
      <c r="C426" s="16" t="s">
        <v>6</v>
      </c>
      <c r="D426" s="87">
        <f>0.888*(2.79*33*2+6.41*15*2+1.39*84)/1000</f>
        <v>0.43796160000000001</v>
      </c>
      <c r="E426" s="85" t="s">
        <v>404</v>
      </c>
      <c r="F426" s="24" t="s">
        <v>411</v>
      </c>
      <c r="G426" s="25" t="s">
        <v>66</v>
      </c>
      <c r="H426" s="81">
        <v>51</v>
      </c>
      <c r="I426" s="86"/>
      <c r="J426" s="8"/>
      <c r="K426" s="16"/>
    </row>
    <row r="427" spans="1:11" s="5" customFormat="1" ht="45" x14ac:dyDescent="0.25">
      <c r="A427" s="82">
        <f t="shared" si="32"/>
        <v>390</v>
      </c>
      <c r="B427" s="23" t="s">
        <v>37</v>
      </c>
      <c r="C427" s="16" t="s">
        <v>6</v>
      </c>
      <c r="D427" s="87">
        <f>0.617*0.91*36/1000</f>
        <v>2.0212919999999999E-2</v>
      </c>
      <c r="E427" s="84" t="s">
        <v>405</v>
      </c>
      <c r="F427" s="24" t="s">
        <v>411</v>
      </c>
      <c r="G427" s="25" t="s">
        <v>66</v>
      </c>
      <c r="H427" s="81">
        <v>51</v>
      </c>
      <c r="I427" s="86"/>
      <c r="J427" s="8"/>
      <c r="K427" s="16"/>
    </row>
    <row r="428" spans="1:11" s="5" customFormat="1" ht="45" x14ac:dyDescent="0.25">
      <c r="A428" s="82">
        <f t="shared" si="32"/>
        <v>391</v>
      </c>
      <c r="B428" s="25" t="s">
        <v>38</v>
      </c>
      <c r="C428" s="16" t="s">
        <v>21</v>
      </c>
      <c r="D428" s="83">
        <f>6.46*2.84*0.3</f>
        <v>5.5039199999999999</v>
      </c>
      <c r="E428" s="84" t="s">
        <v>407</v>
      </c>
      <c r="F428" s="24" t="s">
        <v>411</v>
      </c>
      <c r="G428" s="25" t="s">
        <v>66</v>
      </c>
      <c r="H428" s="81">
        <v>51</v>
      </c>
      <c r="I428" s="86"/>
      <c r="J428" s="8"/>
      <c r="K428" s="16"/>
    </row>
    <row r="429" spans="1:11" s="5" customFormat="1" ht="45" x14ac:dyDescent="0.25">
      <c r="A429" s="82">
        <f t="shared" si="32"/>
        <v>392</v>
      </c>
      <c r="B429" s="22" t="s">
        <v>41</v>
      </c>
      <c r="C429" s="16" t="s">
        <v>21</v>
      </c>
      <c r="D429" s="83">
        <f>D428</f>
        <v>5.5039199999999999</v>
      </c>
      <c r="E429" s="84" t="s">
        <v>407</v>
      </c>
      <c r="F429" s="24" t="s">
        <v>411</v>
      </c>
      <c r="G429" s="25" t="s">
        <v>66</v>
      </c>
      <c r="H429" s="81">
        <v>51</v>
      </c>
      <c r="I429" s="86"/>
      <c r="J429" s="8"/>
      <c r="K429" s="16"/>
    </row>
    <row r="430" spans="1:11" s="5" customFormat="1" ht="45" x14ac:dyDescent="0.25">
      <c r="A430" s="82">
        <f t="shared" si="32"/>
        <v>393</v>
      </c>
      <c r="B430" s="23" t="s">
        <v>39</v>
      </c>
      <c r="C430" s="16" t="s">
        <v>30</v>
      </c>
      <c r="D430" s="83">
        <f>(6.46+2.84)*2*0.3</f>
        <v>5.58</v>
      </c>
      <c r="E430" s="84" t="s">
        <v>408</v>
      </c>
      <c r="F430" s="24" t="s">
        <v>411</v>
      </c>
      <c r="G430" s="25" t="s">
        <v>66</v>
      </c>
      <c r="H430" s="81">
        <v>51</v>
      </c>
      <c r="I430" s="86"/>
      <c r="J430" s="8"/>
      <c r="K430" s="16"/>
    </row>
    <row r="431" spans="1:11" s="5" customFormat="1" ht="45" x14ac:dyDescent="0.25">
      <c r="A431" s="82">
        <f t="shared" si="32"/>
        <v>394</v>
      </c>
      <c r="B431" s="23" t="s">
        <v>42</v>
      </c>
      <c r="C431" s="16" t="s">
        <v>31</v>
      </c>
      <c r="D431" s="83">
        <f>D430*5</f>
        <v>27.9</v>
      </c>
      <c r="E431" s="84" t="s">
        <v>409</v>
      </c>
      <c r="F431" s="24" t="s">
        <v>411</v>
      </c>
      <c r="G431" s="25" t="s">
        <v>66</v>
      </c>
      <c r="H431" s="81">
        <v>51</v>
      </c>
      <c r="I431" s="86"/>
      <c r="J431" s="8"/>
      <c r="K431" s="16"/>
    </row>
    <row r="432" spans="1:11" s="5" customFormat="1" ht="45" x14ac:dyDescent="0.25">
      <c r="A432" s="82">
        <f t="shared" si="32"/>
        <v>395</v>
      </c>
      <c r="B432" s="23" t="s">
        <v>43</v>
      </c>
      <c r="C432" s="16" t="s">
        <v>31</v>
      </c>
      <c r="D432" s="83">
        <f>D430*0.16</f>
        <v>0.89280000000000004</v>
      </c>
      <c r="E432" s="84" t="s">
        <v>410</v>
      </c>
      <c r="F432" s="24" t="s">
        <v>411</v>
      </c>
      <c r="G432" s="25" t="s">
        <v>66</v>
      </c>
      <c r="H432" s="81">
        <v>51</v>
      </c>
      <c r="I432" s="86"/>
      <c r="J432" s="8"/>
      <c r="K432" s="16"/>
    </row>
    <row r="433" spans="1:11" x14ac:dyDescent="0.25">
      <c r="A433" s="95" t="s">
        <v>496</v>
      </c>
      <c r="B433" s="95"/>
      <c r="C433" s="95"/>
      <c r="D433" s="95"/>
      <c r="E433" s="95"/>
      <c r="F433" s="95"/>
      <c r="G433" s="95"/>
      <c r="H433" s="95"/>
      <c r="I433" s="95"/>
      <c r="J433" s="95"/>
      <c r="K433" s="95"/>
    </row>
    <row r="434" spans="1:11" x14ac:dyDescent="0.25">
      <c r="A434" s="95" t="s">
        <v>26</v>
      </c>
      <c r="B434" s="95"/>
      <c r="C434" s="95"/>
      <c r="D434" s="95"/>
      <c r="E434" s="95"/>
      <c r="F434" s="95"/>
      <c r="G434" s="95"/>
      <c r="H434" s="95"/>
      <c r="I434" s="95"/>
      <c r="J434" s="95"/>
      <c r="K434" s="95"/>
    </row>
    <row r="435" spans="1:11" ht="90" x14ac:dyDescent="0.25">
      <c r="A435" s="88">
        <f>A432+1</f>
        <v>396</v>
      </c>
      <c r="B435" s="35" t="s">
        <v>45</v>
      </c>
      <c r="C435" s="26" t="s">
        <v>21</v>
      </c>
      <c r="D435" s="74">
        <f>(21.16+251.22)/2*7.5</f>
        <v>1021.425</v>
      </c>
      <c r="E435" s="75" t="s">
        <v>413</v>
      </c>
      <c r="F435" s="25" t="s">
        <v>412</v>
      </c>
      <c r="G435" s="25" t="s">
        <v>66</v>
      </c>
      <c r="H435" s="22">
        <v>52</v>
      </c>
      <c r="I435" s="36" t="s">
        <v>59</v>
      </c>
      <c r="J435" s="8"/>
      <c r="K435" s="16"/>
    </row>
    <row r="436" spans="1:11" ht="60" x14ac:dyDescent="0.25">
      <c r="A436" s="73">
        <f t="shared" ref="A436:A442" si="33">A435+1</f>
        <v>397</v>
      </c>
      <c r="B436" s="35" t="s">
        <v>398</v>
      </c>
      <c r="C436" s="16" t="s">
        <v>6</v>
      </c>
      <c r="D436" s="74">
        <f>(D435-D437)*1.96</f>
        <v>1557.011456</v>
      </c>
      <c r="E436" s="89" t="s">
        <v>416</v>
      </c>
      <c r="F436" s="25" t="s">
        <v>412</v>
      </c>
      <c r="G436" s="25" t="s">
        <v>66</v>
      </c>
      <c r="H436" s="22">
        <v>52</v>
      </c>
      <c r="I436" s="8"/>
      <c r="J436" s="8"/>
      <c r="K436" s="16"/>
    </row>
    <row r="437" spans="1:11" ht="45" x14ac:dyDescent="0.25">
      <c r="A437" s="73">
        <f t="shared" si="33"/>
        <v>398</v>
      </c>
      <c r="B437" s="25" t="s">
        <v>46</v>
      </c>
      <c r="C437" s="16" t="s">
        <v>21</v>
      </c>
      <c r="D437" s="74">
        <f>(205.92+251.22)/2*1-0.7^2*3.14*1</f>
        <v>227.03139999999999</v>
      </c>
      <c r="E437" s="89" t="s">
        <v>415</v>
      </c>
      <c r="F437" s="25" t="s">
        <v>412</v>
      </c>
      <c r="G437" s="25" t="s">
        <v>66</v>
      </c>
      <c r="H437" s="22">
        <v>52</v>
      </c>
      <c r="I437" s="73"/>
      <c r="J437" s="8"/>
      <c r="K437" s="16"/>
    </row>
    <row r="438" spans="1:11" ht="45" x14ac:dyDescent="0.25">
      <c r="A438" s="73">
        <f t="shared" si="33"/>
        <v>399</v>
      </c>
      <c r="B438" s="25" t="s">
        <v>33</v>
      </c>
      <c r="C438" s="16" t="s">
        <v>21</v>
      </c>
      <c r="D438" s="74">
        <f>D437</f>
        <v>227.03139999999999</v>
      </c>
      <c r="E438" s="89" t="s">
        <v>415</v>
      </c>
      <c r="F438" s="25" t="s">
        <v>412</v>
      </c>
      <c r="G438" s="25" t="s">
        <v>66</v>
      </c>
      <c r="H438" s="22">
        <v>52</v>
      </c>
      <c r="I438" s="73"/>
      <c r="J438" s="8"/>
      <c r="K438" s="16"/>
    </row>
    <row r="439" spans="1:11" ht="45" x14ac:dyDescent="0.25">
      <c r="A439" s="73">
        <f t="shared" si="33"/>
        <v>400</v>
      </c>
      <c r="B439" s="25" t="s">
        <v>158</v>
      </c>
      <c r="C439" s="16" t="s">
        <v>21</v>
      </c>
      <c r="D439" s="74">
        <f>(21.16+205.92)/2*6.5-0.7^2*3.14*6-D444-D449</f>
        <v>725.79840000000002</v>
      </c>
      <c r="E439" s="89" t="s">
        <v>417</v>
      </c>
      <c r="F439" s="25" t="s">
        <v>412</v>
      </c>
      <c r="G439" s="25" t="s">
        <v>66</v>
      </c>
      <c r="H439" s="22">
        <v>52</v>
      </c>
      <c r="I439" s="73"/>
      <c r="J439" s="8"/>
      <c r="K439" s="16"/>
    </row>
    <row r="440" spans="1:11" ht="45" x14ac:dyDescent="0.25">
      <c r="A440" s="73">
        <f t="shared" si="33"/>
        <v>401</v>
      </c>
      <c r="B440" s="25" t="s">
        <v>33</v>
      </c>
      <c r="C440" s="16" t="s">
        <v>21</v>
      </c>
      <c r="D440" s="74">
        <f>D439</f>
        <v>725.79840000000002</v>
      </c>
      <c r="E440" s="89" t="s">
        <v>417</v>
      </c>
      <c r="F440" s="25" t="s">
        <v>412</v>
      </c>
      <c r="G440" s="25" t="s">
        <v>66</v>
      </c>
      <c r="H440" s="22">
        <v>52</v>
      </c>
      <c r="I440" s="73"/>
      <c r="J440" s="8"/>
      <c r="K440" s="16"/>
    </row>
    <row r="441" spans="1:11" ht="45" x14ac:dyDescent="0.25">
      <c r="A441" s="73">
        <f t="shared" si="33"/>
        <v>402</v>
      </c>
      <c r="B441" s="25" t="s">
        <v>160</v>
      </c>
      <c r="C441" s="16" t="s">
        <v>21</v>
      </c>
      <c r="D441" s="74">
        <f>D439</f>
        <v>725.79840000000002</v>
      </c>
      <c r="E441" s="89" t="s">
        <v>417</v>
      </c>
      <c r="F441" s="25" t="s">
        <v>412</v>
      </c>
      <c r="G441" s="25" t="s">
        <v>66</v>
      </c>
      <c r="H441" s="22">
        <v>52</v>
      </c>
      <c r="I441" s="73"/>
      <c r="J441" s="8"/>
      <c r="K441" s="16"/>
    </row>
    <row r="442" spans="1:11" ht="45" x14ac:dyDescent="0.25">
      <c r="A442" s="73">
        <f t="shared" si="33"/>
        <v>403</v>
      </c>
      <c r="B442" s="23" t="s">
        <v>431</v>
      </c>
      <c r="C442" s="16" t="s">
        <v>21</v>
      </c>
      <c r="D442" s="74">
        <f>D439*1.23</f>
        <v>892.732032</v>
      </c>
      <c r="E442" s="89" t="s">
        <v>420</v>
      </c>
      <c r="F442" s="25" t="s">
        <v>412</v>
      </c>
      <c r="G442" s="25" t="s">
        <v>66</v>
      </c>
      <c r="H442" s="22">
        <v>52</v>
      </c>
      <c r="I442" s="28" t="s">
        <v>389</v>
      </c>
      <c r="J442" s="8"/>
      <c r="K442" s="16"/>
    </row>
    <row r="443" spans="1:11" x14ac:dyDescent="0.25">
      <c r="A443" s="95" t="s">
        <v>27</v>
      </c>
      <c r="B443" s="95"/>
      <c r="C443" s="95"/>
      <c r="D443" s="95"/>
      <c r="E443" s="95"/>
      <c r="F443" s="95"/>
      <c r="G443" s="95"/>
      <c r="H443" s="95"/>
      <c r="I443" s="95"/>
      <c r="J443" s="95"/>
      <c r="K443" s="95"/>
    </row>
    <row r="444" spans="1:11" ht="45" x14ac:dyDescent="0.25">
      <c r="A444" s="73">
        <f>A442+1</f>
        <v>404</v>
      </c>
      <c r="B444" s="23" t="s">
        <v>162</v>
      </c>
      <c r="C444" s="16" t="s">
        <v>21</v>
      </c>
      <c r="D444" s="74">
        <f>2.6*2.6*0.1</f>
        <v>0.67600000000000016</v>
      </c>
      <c r="E444" s="75" t="s">
        <v>418</v>
      </c>
      <c r="F444" s="25" t="s">
        <v>412</v>
      </c>
      <c r="G444" s="25" t="s">
        <v>66</v>
      </c>
      <c r="H444" s="22">
        <v>52</v>
      </c>
      <c r="I444" s="73"/>
      <c r="J444" s="8"/>
      <c r="K444" s="16"/>
    </row>
    <row r="445" spans="1:11" ht="45" x14ac:dyDescent="0.25">
      <c r="A445" s="73">
        <f t="shared" ref="A445:A453" si="34">A444+1</f>
        <v>405</v>
      </c>
      <c r="B445" s="23" t="s">
        <v>164</v>
      </c>
      <c r="C445" s="16" t="s">
        <v>21</v>
      </c>
      <c r="D445" s="74">
        <f>D444</f>
        <v>0.67600000000000016</v>
      </c>
      <c r="E445" s="75" t="s">
        <v>418</v>
      </c>
      <c r="F445" s="25" t="s">
        <v>412</v>
      </c>
      <c r="G445" s="25" t="s">
        <v>66</v>
      </c>
      <c r="H445" s="22">
        <v>52</v>
      </c>
      <c r="I445" s="73"/>
      <c r="J445" s="8"/>
      <c r="K445" s="16"/>
    </row>
    <row r="446" spans="1:11" ht="45" x14ac:dyDescent="0.25">
      <c r="A446" s="73">
        <f t="shared" si="34"/>
        <v>406</v>
      </c>
      <c r="B446" s="23" t="s">
        <v>28</v>
      </c>
      <c r="C446" s="16" t="s">
        <v>6</v>
      </c>
      <c r="D446" s="76">
        <f>D447+D448</f>
        <v>0.18082319999999999</v>
      </c>
      <c r="E446" s="55" t="s">
        <v>437</v>
      </c>
      <c r="F446" s="25" t="s">
        <v>412</v>
      </c>
      <c r="G446" s="25" t="s">
        <v>66</v>
      </c>
      <c r="H446" s="22">
        <v>52</v>
      </c>
      <c r="I446" s="73"/>
      <c r="J446" s="8"/>
      <c r="K446" s="16"/>
    </row>
    <row r="447" spans="1:11" ht="45" x14ac:dyDescent="0.25">
      <c r="A447" s="73">
        <f t="shared" si="34"/>
        <v>407</v>
      </c>
      <c r="B447" s="23" t="s">
        <v>32</v>
      </c>
      <c r="C447" s="16" t="s">
        <v>6</v>
      </c>
      <c r="D447" s="76">
        <f>0.888*(2.35*48+1.89*32)/1000</f>
        <v>0.15387263999999998</v>
      </c>
      <c r="E447" s="55" t="s">
        <v>436</v>
      </c>
      <c r="F447" s="25" t="s">
        <v>412</v>
      </c>
      <c r="G447" s="25" t="s">
        <v>66</v>
      </c>
      <c r="H447" s="22">
        <v>52</v>
      </c>
      <c r="I447" s="73"/>
      <c r="J447" s="8"/>
      <c r="K447" s="16"/>
    </row>
    <row r="448" spans="1:11" ht="45" x14ac:dyDescent="0.25">
      <c r="A448" s="73">
        <f t="shared" si="34"/>
        <v>408</v>
      </c>
      <c r="B448" s="23" t="s">
        <v>165</v>
      </c>
      <c r="C448" s="16" t="s">
        <v>6</v>
      </c>
      <c r="D448" s="76">
        <f>0.617*(2.35*12+0.43*36)/1000</f>
        <v>2.6950560000000002E-2</v>
      </c>
      <c r="E448" s="89" t="s">
        <v>421</v>
      </c>
      <c r="F448" s="25" t="s">
        <v>412</v>
      </c>
      <c r="G448" s="25" t="s">
        <v>66</v>
      </c>
      <c r="H448" s="22">
        <v>52</v>
      </c>
      <c r="I448" s="73"/>
      <c r="J448" s="8"/>
      <c r="K448" s="16"/>
    </row>
    <row r="449" spans="1:11" ht="45" x14ac:dyDescent="0.25">
      <c r="A449" s="73">
        <f t="shared" si="34"/>
        <v>409</v>
      </c>
      <c r="B449" s="23" t="s">
        <v>48</v>
      </c>
      <c r="C449" s="16" t="s">
        <v>21</v>
      </c>
      <c r="D449" s="74">
        <f>2.4*2.4*0.4</f>
        <v>2.3039999999999998</v>
      </c>
      <c r="E449" s="89" t="s">
        <v>419</v>
      </c>
      <c r="F449" s="25" t="s">
        <v>412</v>
      </c>
      <c r="G449" s="25" t="s">
        <v>66</v>
      </c>
      <c r="H449" s="22">
        <v>52</v>
      </c>
      <c r="I449" s="73"/>
      <c r="J449" s="8"/>
      <c r="K449" s="16"/>
    </row>
    <row r="450" spans="1:11" ht="45" x14ac:dyDescent="0.25">
      <c r="A450" s="73">
        <f t="shared" si="34"/>
        <v>410</v>
      </c>
      <c r="B450" s="23" t="s">
        <v>168</v>
      </c>
      <c r="C450" s="16" t="s">
        <v>21</v>
      </c>
      <c r="D450" s="74">
        <f>D449</f>
        <v>2.3039999999999998</v>
      </c>
      <c r="E450" s="89" t="s">
        <v>419</v>
      </c>
      <c r="F450" s="25" t="s">
        <v>412</v>
      </c>
      <c r="G450" s="25" t="s">
        <v>66</v>
      </c>
      <c r="H450" s="22">
        <v>52</v>
      </c>
      <c r="I450" s="73"/>
      <c r="J450" s="8"/>
      <c r="K450" s="16"/>
    </row>
    <row r="451" spans="1:11" ht="45" x14ac:dyDescent="0.25">
      <c r="A451" s="73">
        <f t="shared" si="34"/>
        <v>411</v>
      </c>
      <c r="B451" s="23" t="s">
        <v>169</v>
      </c>
      <c r="C451" s="16" t="s">
        <v>30</v>
      </c>
      <c r="D451" s="74">
        <f>2.4*2.4+9.6*0.4</f>
        <v>9.6</v>
      </c>
      <c r="E451" s="89" t="s">
        <v>422</v>
      </c>
      <c r="F451" s="25" t="s">
        <v>412</v>
      </c>
      <c r="G451" s="25" t="s">
        <v>66</v>
      </c>
      <c r="H451" s="22">
        <v>52</v>
      </c>
      <c r="I451" s="73"/>
      <c r="J451" s="8"/>
      <c r="K451" s="16"/>
    </row>
    <row r="452" spans="1:11" ht="45" x14ac:dyDescent="0.25">
      <c r="A452" s="73">
        <f t="shared" si="34"/>
        <v>412</v>
      </c>
      <c r="B452" s="23" t="s">
        <v>42</v>
      </c>
      <c r="C452" s="16" t="s">
        <v>31</v>
      </c>
      <c r="D452" s="77">
        <f>D451*5</f>
        <v>48</v>
      </c>
      <c r="E452" s="89" t="s">
        <v>423</v>
      </c>
      <c r="F452" s="25" t="s">
        <v>412</v>
      </c>
      <c r="G452" s="25" t="s">
        <v>66</v>
      </c>
      <c r="H452" s="22">
        <v>52</v>
      </c>
      <c r="I452" s="73"/>
      <c r="J452" s="8"/>
      <c r="K452" s="16"/>
    </row>
    <row r="453" spans="1:11" ht="45" x14ac:dyDescent="0.25">
      <c r="A453" s="73">
        <f t="shared" si="34"/>
        <v>413</v>
      </c>
      <c r="B453" s="23" t="s">
        <v>43</v>
      </c>
      <c r="C453" s="16" t="s">
        <v>31</v>
      </c>
      <c r="D453" s="74">
        <f>D451*0.16</f>
        <v>1.536</v>
      </c>
      <c r="E453" s="89" t="s">
        <v>424</v>
      </c>
      <c r="F453" s="25" t="s">
        <v>412</v>
      </c>
      <c r="G453" s="25" t="s">
        <v>66</v>
      </c>
      <c r="H453" s="22">
        <v>52</v>
      </c>
      <c r="I453" s="73"/>
      <c r="J453" s="8"/>
      <c r="K453" s="16"/>
    </row>
    <row r="454" spans="1:11" x14ac:dyDescent="0.25">
      <c r="A454" s="95" t="s">
        <v>497</v>
      </c>
      <c r="B454" s="95"/>
      <c r="C454" s="95"/>
      <c r="D454" s="95"/>
      <c r="E454" s="95"/>
      <c r="F454" s="95"/>
      <c r="G454" s="95"/>
      <c r="H454" s="95"/>
      <c r="I454" s="95"/>
      <c r="J454" s="95"/>
      <c r="K454" s="95"/>
    </row>
    <row r="455" spans="1:11" x14ac:dyDescent="0.25">
      <c r="A455" s="95" t="s">
        <v>26</v>
      </c>
      <c r="B455" s="95"/>
      <c r="C455" s="95"/>
      <c r="D455" s="95"/>
      <c r="E455" s="95"/>
      <c r="F455" s="95"/>
      <c r="G455" s="95"/>
      <c r="H455" s="95"/>
      <c r="I455" s="95"/>
      <c r="J455" s="95"/>
      <c r="K455" s="95"/>
    </row>
    <row r="456" spans="1:11" ht="90" x14ac:dyDescent="0.25">
      <c r="A456" s="73">
        <f>A453+1</f>
        <v>414</v>
      </c>
      <c r="B456" s="35" t="s">
        <v>45</v>
      </c>
      <c r="C456" s="26" t="s">
        <v>21</v>
      </c>
      <c r="D456" s="74">
        <f>(21.16+88.36)/2*3.2</f>
        <v>175.232</v>
      </c>
      <c r="E456" s="89" t="s">
        <v>425</v>
      </c>
      <c r="F456" s="25" t="s">
        <v>414</v>
      </c>
      <c r="G456" s="25" t="s">
        <v>66</v>
      </c>
      <c r="H456" s="22">
        <v>53</v>
      </c>
      <c r="I456" s="36" t="s">
        <v>59</v>
      </c>
      <c r="J456" s="8"/>
      <c r="K456" s="16"/>
    </row>
    <row r="457" spans="1:11" ht="60" x14ac:dyDescent="0.25">
      <c r="A457" s="73">
        <f t="shared" ref="A457:A463" si="35">A456+1</f>
        <v>415</v>
      </c>
      <c r="B457" s="35" t="s">
        <v>398</v>
      </c>
      <c r="C457" s="16" t="s">
        <v>6</v>
      </c>
      <c r="D457" s="74">
        <f>(D456-D458)*1.96</f>
        <v>198.71577600000001</v>
      </c>
      <c r="E457" s="89" t="s">
        <v>427</v>
      </c>
      <c r="F457" s="25" t="s">
        <v>414</v>
      </c>
      <c r="G457" s="25" t="s">
        <v>66</v>
      </c>
      <c r="H457" s="22">
        <v>53</v>
      </c>
      <c r="I457" s="8"/>
      <c r="J457" s="8"/>
      <c r="K457" s="16"/>
    </row>
    <row r="458" spans="1:11" ht="45" x14ac:dyDescent="0.25">
      <c r="A458" s="73">
        <f t="shared" si="35"/>
        <v>416</v>
      </c>
      <c r="B458" s="25" t="s">
        <v>46</v>
      </c>
      <c r="C458" s="16" t="s">
        <v>21</v>
      </c>
      <c r="D458" s="74">
        <f>(62.41+88.36)/2*1-0.7^2*3.14*1</f>
        <v>73.846399999999988</v>
      </c>
      <c r="E458" s="89" t="s">
        <v>426</v>
      </c>
      <c r="F458" s="25" t="s">
        <v>414</v>
      </c>
      <c r="G458" s="25" t="s">
        <v>66</v>
      </c>
      <c r="H458" s="22">
        <v>53</v>
      </c>
      <c r="I458" s="73"/>
      <c r="J458" s="8"/>
      <c r="K458" s="16"/>
    </row>
    <row r="459" spans="1:11" ht="45" x14ac:dyDescent="0.25">
      <c r="A459" s="73">
        <f t="shared" si="35"/>
        <v>417</v>
      </c>
      <c r="B459" s="25" t="s">
        <v>33</v>
      </c>
      <c r="C459" s="16" t="s">
        <v>21</v>
      </c>
      <c r="D459" s="74">
        <f>D458</f>
        <v>73.846399999999988</v>
      </c>
      <c r="E459" s="89" t="s">
        <v>426</v>
      </c>
      <c r="F459" s="25" t="s">
        <v>414</v>
      </c>
      <c r="G459" s="25" t="s">
        <v>66</v>
      </c>
      <c r="H459" s="22">
        <v>53</v>
      </c>
      <c r="I459" s="73"/>
      <c r="J459" s="8"/>
      <c r="K459" s="16"/>
    </row>
    <row r="460" spans="1:11" ht="45" x14ac:dyDescent="0.25">
      <c r="A460" s="73">
        <f t="shared" si="35"/>
        <v>418</v>
      </c>
      <c r="B460" s="25" t="s">
        <v>158</v>
      </c>
      <c r="C460" s="16" t="s">
        <v>21</v>
      </c>
      <c r="D460" s="74">
        <f>(21.16+62.41)/2*2.2-0.7^2*3.14*1.7-D465-D470</f>
        <v>86.33138000000001</v>
      </c>
      <c r="E460" s="89" t="s">
        <v>428</v>
      </c>
      <c r="F460" s="25" t="s">
        <v>414</v>
      </c>
      <c r="G460" s="25" t="s">
        <v>66</v>
      </c>
      <c r="H460" s="22">
        <v>53</v>
      </c>
      <c r="I460" s="73"/>
      <c r="J460" s="8"/>
      <c r="K460" s="16"/>
    </row>
    <row r="461" spans="1:11" ht="45" x14ac:dyDescent="0.25">
      <c r="A461" s="73">
        <f t="shared" si="35"/>
        <v>419</v>
      </c>
      <c r="B461" s="25" t="s">
        <v>33</v>
      </c>
      <c r="C461" s="16" t="s">
        <v>21</v>
      </c>
      <c r="D461" s="74">
        <f>D460</f>
        <v>86.33138000000001</v>
      </c>
      <c r="E461" s="89" t="s">
        <v>428</v>
      </c>
      <c r="F461" s="25" t="s">
        <v>414</v>
      </c>
      <c r="G461" s="25" t="s">
        <v>66</v>
      </c>
      <c r="H461" s="22">
        <v>53</v>
      </c>
      <c r="I461" s="73"/>
      <c r="J461" s="8"/>
      <c r="K461" s="16"/>
    </row>
    <row r="462" spans="1:11" ht="45" x14ac:dyDescent="0.25">
      <c r="A462" s="73">
        <f t="shared" si="35"/>
        <v>420</v>
      </c>
      <c r="B462" s="25" t="s">
        <v>160</v>
      </c>
      <c r="C462" s="16" t="s">
        <v>21</v>
      </c>
      <c r="D462" s="74">
        <f>D460</f>
        <v>86.33138000000001</v>
      </c>
      <c r="E462" s="89" t="s">
        <v>428</v>
      </c>
      <c r="F462" s="25" t="s">
        <v>414</v>
      </c>
      <c r="G462" s="25" t="s">
        <v>66</v>
      </c>
      <c r="H462" s="22">
        <v>53</v>
      </c>
      <c r="I462" s="73"/>
      <c r="J462" s="8"/>
      <c r="K462" s="16"/>
    </row>
    <row r="463" spans="1:11" ht="45" x14ac:dyDescent="0.25">
      <c r="A463" s="73">
        <f t="shared" si="35"/>
        <v>421</v>
      </c>
      <c r="B463" s="23" t="s">
        <v>431</v>
      </c>
      <c r="C463" s="16" t="s">
        <v>21</v>
      </c>
      <c r="D463" s="74">
        <f>D460*1.23</f>
        <v>106.18759740000002</v>
      </c>
      <c r="E463" s="89" t="s">
        <v>429</v>
      </c>
      <c r="F463" s="25" t="s">
        <v>414</v>
      </c>
      <c r="G463" s="25" t="s">
        <v>66</v>
      </c>
      <c r="H463" s="22">
        <v>53</v>
      </c>
      <c r="I463" s="28" t="s">
        <v>389</v>
      </c>
      <c r="J463" s="8"/>
      <c r="K463" s="16"/>
    </row>
    <row r="464" spans="1:11" x14ac:dyDescent="0.25">
      <c r="A464" s="95" t="s">
        <v>27</v>
      </c>
      <c r="B464" s="95"/>
      <c r="C464" s="95"/>
      <c r="D464" s="95"/>
      <c r="E464" s="95"/>
      <c r="F464" s="95"/>
      <c r="G464" s="95"/>
      <c r="H464" s="95"/>
      <c r="I464" s="95"/>
      <c r="J464" s="95"/>
      <c r="K464" s="95"/>
    </row>
    <row r="465" spans="1:11" ht="45" x14ac:dyDescent="0.25">
      <c r="A465" s="73">
        <f>A463+1</f>
        <v>422</v>
      </c>
      <c r="B465" s="23" t="s">
        <v>162</v>
      </c>
      <c r="C465" s="16" t="s">
        <v>21</v>
      </c>
      <c r="D465" s="74">
        <f>2.6*2.6*0.1</f>
        <v>0.67600000000000016</v>
      </c>
      <c r="E465" s="75" t="s">
        <v>418</v>
      </c>
      <c r="F465" s="25" t="s">
        <v>414</v>
      </c>
      <c r="G465" s="25" t="s">
        <v>66</v>
      </c>
      <c r="H465" s="22">
        <v>53</v>
      </c>
      <c r="I465" s="73"/>
      <c r="J465" s="8"/>
      <c r="K465" s="16"/>
    </row>
    <row r="466" spans="1:11" ht="45" x14ac:dyDescent="0.25">
      <c r="A466" s="73">
        <f t="shared" ref="A466:A474" si="36">A465+1</f>
        <v>423</v>
      </c>
      <c r="B466" s="23" t="s">
        <v>164</v>
      </c>
      <c r="C466" s="16" t="s">
        <v>21</v>
      </c>
      <c r="D466" s="74">
        <f>D465</f>
        <v>0.67600000000000016</v>
      </c>
      <c r="E466" s="75" t="s">
        <v>418</v>
      </c>
      <c r="F466" s="25" t="s">
        <v>414</v>
      </c>
      <c r="G466" s="25" t="s">
        <v>66</v>
      </c>
      <c r="H466" s="22">
        <v>53</v>
      </c>
      <c r="I466" s="73"/>
      <c r="J466" s="8"/>
      <c r="K466" s="16"/>
    </row>
    <row r="467" spans="1:11" ht="45" x14ac:dyDescent="0.25">
      <c r="A467" s="73">
        <f t="shared" si="36"/>
        <v>424</v>
      </c>
      <c r="B467" s="23" t="s">
        <v>28</v>
      </c>
      <c r="C467" s="16" t="s">
        <v>6</v>
      </c>
      <c r="D467" s="76">
        <f>D468+D469</f>
        <v>0.18082319999999999</v>
      </c>
      <c r="E467" s="55" t="s">
        <v>437</v>
      </c>
      <c r="F467" s="25" t="s">
        <v>414</v>
      </c>
      <c r="G467" s="25" t="s">
        <v>66</v>
      </c>
      <c r="H467" s="22">
        <v>53</v>
      </c>
      <c r="I467" s="73"/>
      <c r="J467" s="8"/>
      <c r="K467" s="16"/>
    </row>
    <row r="468" spans="1:11" ht="45" x14ac:dyDescent="0.25">
      <c r="A468" s="73">
        <f t="shared" si="36"/>
        <v>425</v>
      </c>
      <c r="B468" s="23" t="s">
        <v>32</v>
      </c>
      <c r="C468" s="16" t="s">
        <v>6</v>
      </c>
      <c r="D468" s="76">
        <f>0.888*(2.35*48+1.89*32)/1000</f>
        <v>0.15387263999999998</v>
      </c>
      <c r="E468" s="55" t="s">
        <v>436</v>
      </c>
      <c r="F468" s="25" t="s">
        <v>414</v>
      </c>
      <c r="G468" s="25" t="s">
        <v>66</v>
      </c>
      <c r="H468" s="22">
        <v>53</v>
      </c>
      <c r="I468" s="73"/>
      <c r="J468" s="8"/>
      <c r="K468" s="16"/>
    </row>
    <row r="469" spans="1:11" ht="45" x14ac:dyDescent="0.25">
      <c r="A469" s="73">
        <f t="shared" si="36"/>
        <v>426</v>
      </c>
      <c r="B469" s="23" t="s">
        <v>165</v>
      </c>
      <c r="C469" s="16" t="s">
        <v>6</v>
      </c>
      <c r="D469" s="76">
        <f>0.617*(2.35*12+0.43*36)/1000</f>
        <v>2.6950560000000002E-2</v>
      </c>
      <c r="E469" s="89" t="s">
        <v>421</v>
      </c>
      <c r="F469" s="25" t="s">
        <v>414</v>
      </c>
      <c r="G469" s="25" t="s">
        <v>66</v>
      </c>
      <c r="H469" s="22">
        <v>53</v>
      </c>
      <c r="I469" s="73"/>
      <c r="J469" s="8"/>
      <c r="K469" s="16"/>
    </row>
    <row r="470" spans="1:11" ht="45" x14ac:dyDescent="0.25">
      <c r="A470" s="73">
        <f t="shared" si="36"/>
        <v>427</v>
      </c>
      <c r="B470" s="23" t="s">
        <v>48</v>
      </c>
      <c r="C470" s="16" t="s">
        <v>21</v>
      </c>
      <c r="D470" s="74">
        <f>2.4*2.4*0.4</f>
        <v>2.3039999999999998</v>
      </c>
      <c r="E470" s="89" t="s">
        <v>419</v>
      </c>
      <c r="F470" s="25" t="s">
        <v>414</v>
      </c>
      <c r="G470" s="25" t="s">
        <v>66</v>
      </c>
      <c r="H470" s="22">
        <v>53</v>
      </c>
      <c r="I470" s="73"/>
      <c r="J470" s="8"/>
      <c r="K470" s="16"/>
    </row>
    <row r="471" spans="1:11" ht="45" x14ac:dyDescent="0.25">
      <c r="A471" s="73">
        <f t="shared" si="36"/>
        <v>428</v>
      </c>
      <c r="B471" s="23" t="s">
        <v>168</v>
      </c>
      <c r="C471" s="16" t="s">
        <v>21</v>
      </c>
      <c r="D471" s="74">
        <f>D470</f>
        <v>2.3039999999999998</v>
      </c>
      <c r="E471" s="89" t="s">
        <v>419</v>
      </c>
      <c r="F471" s="25" t="s">
        <v>414</v>
      </c>
      <c r="G471" s="25" t="s">
        <v>66</v>
      </c>
      <c r="H471" s="22">
        <v>53</v>
      </c>
      <c r="I471" s="73"/>
      <c r="J471" s="8"/>
      <c r="K471" s="16"/>
    </row>
    <row r="472" spans="1:11" ht="45" x14ac:dyDescent="0.25">
      <c r="A472" s="73">
        <f t="shared" si="36"/>
        <v>429</v>
      </c>
      <c r="B472" s="23" t="s">
        <v>169</v>
      </c>
      <c r="C472" s="16" t="s">
        <v>30</v>
      </c>
      <c r="D472" s="74">
        <f>2.4*2.4+9.6*0.4</f>
        <v>9.6</v>
      </c>
      <c r="E472" s="89" t="s">
        <v>422</v>
      </c>
      <c r="F472" s="25" t="s">
        <v>414</v>
      </c>
      <c r="G472" s="25" t="s">
        <v>66</v>
      </c>
      <c r="H472" s="22">
        <v>53</v>
      </c>
      <c r="I472" s="73"/>
      <c r="J472" s="8"/>
      <c r="K472" s="16"/>
    </row>
    <row r="473" spans="1:11" ht="45" x14ac:dyDescent="0.25">
      <c r="A473" s="73">
        <f t="shared" si="36"/>
        <v>430</v>
      </c>
      <c r="B473" s="23" t="s">
        <v>42</v>
      </c>
      <c r="C473" s="16" t="s">
        <v>31</v>
      </c>
      <c r="D473" s="77">
        <f>D472*5</f>
        <v>48</v>
      </c>
      <c r="E473" s="89" t="s">
        <v>423</v>
      </c>
      <c r="F473" s="25" t="s">
        <v>414</v>
      </c>
      <c r="G473" s="25" t="s">
        <v>66</v>
      </c>
      <c r="H473" s="22">
        <v>53</v>
      </c>
      <c r="I473" s="73"/>
      <c r="J473" s="8"/>
      <c r="K473" s="16"/>
    </row>
    <row r="474" spans="1:11" ht="45" x14ac:dyDescent="0.25">
      <c r="A474" s="73">
        <f t="shared" si="36"/>
        <v>431</v>
      </c>
      <c r="B474" s="23" t="s">
        <v>43</v>
      </c>
      <c r="C474" s="16" t="s">
        <v>31</v>
      </c>
      <c r="D474" s="74">
        <f>D472*0.16</f>
        <v>1.536</v>
      </c>
      <c r="E474" s="89" t="s">
        <v>424</v>
      </c>
      <c r="F474" s="25" t="s">
        <v>414</v>
      </c>
      <c r="G474" s="25" t="s">
        <v>66</v>
      </c>
      <c r="H474" s="22">
        <v>53</v>
      </c>
      <c r="I474" s="73"/>
      <c r="J474" s="8"/>
      <c r="K474" s="16"/>
    </row>
    <row r="475" spans="1:11" x14ac:dyDescent="0.25">
      <c r="A475" s="95" t="s">
        <v>498</v>
      </c>
      <c r="B475" s="95"/>
      <c r="C475" s="95"/>
      <c r="D475" s="95"/>
      <c r="E475" s="95"/>
      <c r="F475" s="95"/>
      <c r="G475" s="95"/>
      <c r="H475" s="95"/>
      <c r="I475" s="95"/>
      <c r="J475" s="95"/>
      <c r="K475" s="95"/>
    </row>
    <row r="476" spans="1:11" x14ac:dyDescent="0.25">
      <c r="A476" s="95" t="s">
        <v>26</v>
      </c>
      <c r="B476" s="95"/>
      <c r="C476" s="95"/>
      <c r="D476" s="95"/>
      <c r="E476" s="95"/>
      <c r="F476" s="95"/>
      <c r="G476" s="95"/>
      <c r="H476" s="95"/>
      <c r="I476" s="95"/>
      <c r="J476" s="95"/>
      <c r="K476" s="95"/>
    </row>
    <row r="477" spans="1:11" ht="45" x14ac:dyDescent="0.25">
      <c r="A477" s="16">
        <f>A474+1</f>
        <v>432</v>
      </c>
      <c r="B477" s="35" t="s">
        <v>328</v>
      </c>
      <c r="C477" s="16" t="s">
        <v>21</v>
      </c>
      <c r="D477" s="60">
        <f>0.125^2*3.14*0.8*2</f>
        <v>7.8500000000000014E-2</v>
      </c>
      <c r="E477" s="22" t="s">
        <v>499</v>
      </c>
      <c r="F477" s="25" t="s">
        <v>430</v>
      </c>
      <c r="G477" s="25" t="s">
        <v>66</v>
      </c>
      <c r="H477" s="22">
        <v>54</v>
      </c>
      <c r="I477" s="36" t="s">
        <v>59</v>
      </c>
      <c r="J477" s="16"/>
      <c r="K477" s="16"/>
    </row>
    <row r="478" spans="1:11" ht="60" x14ac:dyDescent="0.25">
      <c r="A478" s="16">
        <f>A477+1</f>
        <v>433</v>
      </c>
      <c r="B478" s="35" t="s">
        <v>398</v>
      </c>
      <c r="C478" s="16" t="s">
        <v>6</v>
      </c>
      <c r="D478" s="60">
        <f>D477*1.96</f>
        <v>0.15386000000000002</v>
      </c>
      <c r="E478" s="22" t="s">
        <v>500</v>
      </c>
      <c r="F478" s="25" t="s">
        <v>430</v>
      </c>
      <c r="G478" s="25" t="s">
        <v>66</v>
      </c>
      <c r="H478" s="22">
        <v>54</v>
      </c>
      <c r="I478" s="8"/>
      <c r="J478" s="16"/>
      <c r="K478" s="16"/>
    </row>
    <row r="479" spans="1:11" x14ac:dyDescent="0.25">
      <c r="A479" s="102" t="s">
        <v>27</v>
      </c>
      <c r="B479" s="103"/>
      <c r="C479" s="103"/>
      <c r="D479" s="103"/>
      <c r="E479" s="103"/>
      <c r="F479" s="103"/>
      <c r="G479" s="103"/>
      <c r="H479" s="103"/>
      <c r="I479" s="103"/>
      <c r="J479" s="103"/>
      <c r="K479" s="104"/>
    </row>
    <row r="480" spans="1:11" ht="45" x14ac:dyDescent="0.25">
      <c r="A480" s="16">
        <f>A478+1</f>
        <v>434</v>
      </c>
      <c r="B480" s="23" t="s">
        <v>333</v>
      </c>
      <c r="C480" s="16" t="s">
        <v>21</v>
      </c>
      <c r="D480" s="61">
        <f>0.125^2*3.14*0.1*2</f>
        <v>9.8125000000000018E-3</v>
      </c>
      <c r="E480" s="23" t="s">
        <v>501</v>
      </c>
      <c r="F480" s="25" t="s">
        <v>430</v>
      </c>
      <c r="G480" s="25" t="s">
        <v>66</v>
      </c>
      <c r="H480" s="22">
        <v>54</v>
      </c>
      <c r="I480" s="20"/>
      <c r="J480" s="16"/>
      <c r="K480" s="16"/>
    </row>
    <row r="481" spans="1:11" ht="45" x14ac:dyDescent="0.25">
      <c r="A481" s="16">
        <f t="shared" ref="A481:A499" si="37">A480+1</f>
        <v>435</v>
      </c>
      <c r="B481" s="23" t="s">
        <v>146</v>
      </c>
      <c r="C481" s="16" t="s">
        <v>21</v>
      </c>
      <c r="D481" s="61">
        <f>D480*1.3</f>
        <v>1.2756250000000002E-2</v>
      </c>
      <c r="E481" s="22" t="s">
        <v>502</v>
      </c>
      <c r="F481" s="25" t="s">
        <v>430</v>
      </c>
      <c r="G481" s="25" t="s">
        <v>66</v>
      </c>
      <c r="H481" s="22">
        <v>54</v>
      </c>
      <c r="I481" s="28" t="s">
        <v>391</v>
      </c>
      <c r="J481" s="16"/>
      <c r="K481" s="16"/>
    </row>
    <row r="482" spans="1:11" ht="45" x14ac:dyDescent="0.25">
      <c r="A482" s="16">
        <f t="shared" si="37"/>
        <v>436</v>
      </c>
      <c r="B482" s="23" t="s">
        <v>336</v>
      </c>
      <c r="C482" s="16" t="s">
        <v>30</v>
      </c>
      <c r="D482" s="60">
        <f>2*3.14*0.125*0.8*2</f>
        <v>1.2560000000000002</v>
      </c>
      <c r="E482" s="23" t="s">
        <v>503</v>
      </c>
      <c r="F482" s="25" t="s">
        <v>430</v>
      </c>
      <c r="G482" s="25" t="s">
        <v>66</v>
      </c>
      <c r="H482" s="22">
        <v>54</v>
      </c>
      <c r="I482" s="20"/>
      <c r="J482" s="16"/>
      <c r="K482" s="16"/>
    </row>
    <row r="483" spans="1:11" ht="45" x14ac:dyDescent="0.25">
      <c r="A483" s="16">
        <f t="shared" si="37"/>
        <v>437</v>
      </c>
      <c r="B483" s="23" t="s">
        <v>338</v>
      </c>
      <c r="C483" s="16" t="s">
        <v>30</v>
      </c>
      <c r="D483" s="60">
        <f>D482</f>
        <v>1.2560000000000002</v>
      </c>
      <c r="E483" s="23" t="s">
        <v>503</v>
      </c>
      <c r="F483" s="25" t="s">
        <v>430</v>
      </c>
      <c r="G483" s="25" t="s">
        <v>66</v>
      </c>
      <c r="H483" s="22">
        <v>54</v>
      </c>
      <c r="I483" s="20"/>
      <c r="J483" s="16"/>
      <c r="K483" s="16"/>
    </row>
    <row r="484" spans="1:11" ht="45" x14ac:dyDescent="0.25">
      <c r="A484" s="16">
        <f t="shared" si="37"/>
        <v>438</v>
      </c>
      <c r="B484" s="23" t="s">
        <v>339</v>
      </c>
      <c r="C484" s="16" t="s">
        <v>30</v>
      </c>
      <c r="D484" s="60">
        <f>0.125^2*3.14*2</f>
        <v>9.8125000000000004E-2</v>
      </c>
      <c r="E484" s="23" t="s">
        <v>504</v>
      </c>
      <c r="F484" s="25" t="s">
        <v>430</v>
      </c>
      <c r="G484" s="25" t="s">
        <v>66</v>
      </c>
      <c r="H484" s="22">
        <v>54</v>
      </c>
      <c r="I484" s="20"/>
      <c r="J484" s="16"/>
      <c r="K484" s="16"/>
    </row>
    <row r="485" spans="1:11" ht="45" x14ac:dyDescent="0.25">
      <c r="A485" s="16">
        <f t="shared" si="37"/>
        <v>439</v>
      </c>
      <c r="B485" s="23" t="s">
        <v>338</v>
      </c>
      <c r="C485" s="16" t="s">
        <v>30</v>
      </c>
      <c r="D485" s="60">
        <f>D484</f>
        <v>9.8125000000000004E-2</v>
      </c>
      <c r="E485" s="23" t="s">
        <v>504</v>
      </c>
      <c r="F485" s="25" t="s">
        <v>430</v>
      </c>
      <c r="G485" s="25" t="s">
        <v>66</v>
      </c>
      <c r="H485" s="22">
        <v>54</v>
      </c>
      <c r="I485" s="20"/>
      <c r="J485" s="16"/>
      <c r="K485" s="16"/>
    </row>
    <row r="486" spans="1:11" ht="45" x14ac:dyDescent="0.25">
      <c r="A486" s="16">
        <f t="shared" si="37"/>
        <v>440</v>
      </c>
      <c r="B486" s="23" t="s">
        <v>493</v>
      </c>
      <c r="C486" s="8" t="s">
        <v>30</v>
      </c>
      <c r="D486" s="60">
        <f>(0.24*2+0.1*0.05*8+0.33*2+0.52*0.4*2+0.05*0.14-0.3*0.12)*2</f>
        <v>3.1339999999999999</v>
      </c>
      <c r="E486" s="23" t="s">
        <v>525</v>
      </c>
      <c r="F486" s="25" t="s">
        <v>430</v>
      </c>
      <c r="G486" s="25" t="s">
        <v>66</v>
      </c>
      <c r="H486" s="22">
        <v>54</v>
      </c>
      <c r="I486" s="20"/>
      <c r="J486" s="16"/>
      <c r="K486" s="16"/>
    </row>
    <row r="487" spans="1:11" ht="45" x14ac:dyDescent="0.25">
      <c r="A487" s="16">
        <f t="shared" si="37"/>
        <v>441</v>
      </c>
      <c r="B487" s="23" t="s">
        <v>491</v>
      </c>
      <c r="C487" s="16" t="s">
        <v>342</v>
      </c>
      <c r="D487" s="16">
        <f>1*2</f>
        <v>2</v>
      </c>
      <c r="E487" s="23" t="s">
        <v>505</v>
      </c>
      <c r="F487" s="25" t="s">
        <v>430</v>
      </c>
      <c r="G487" s="25" t="s">
        <v>66</v>
      </c>
      <c r="H487" s="22">
        <v>54</v>
      </c>
      <c r="I487" s="20"/>
      <c r="J487" s="16"/>
      <c r="K487" s="16"/>
    </row>
    <row r="488" spans="1:11" ht="45" x14ac:dyDescent="0.25">
      <c r="A488" s="16">
        <f t="shared" si="37"/>
        <v>442</v>
      </c>
      <c r="B488" s="23" t="s">
        <v>492</v>
      </c>
      <c r="C488" s="16" t="s">
        <v>6</v>
      </c>
      <c r="D488" s="61">
        <f>5.4*2/1000*D487</f>
        <v>2.1600000000000001E-2</v>
      </c>
      <c r="E488" s="23" t="s">
        <v>506</v>
      </c>
      <c r="F488" s="25" t="s">
        <v>430</v>
      </c>
      <c r="G488" s="25" t="s">
        <v>66</v>
      </c>
      <c r="H488" s="22">
        <v>54</v>
      </c>
      <c r="I488" s="20"/>
      <c r="J488" s="16"/>
      <c r="K488" s="16"/>
    </row>
    <row r="489" spans="1:11" ht="45" x14ac:dyDescent="0.25">
      <c r="A489" s="16">
        <f t="shared" si="37"/>
        <v>443</v>
      </c>
      <c r="B489" s="23" t="s">
        <v>494</v>
      </c>
      <c r="C489" s="16" t="s">
        <v>31</v>
      </c>
      <c r="D489" s="61">
        <f>15.7*0.05*0.1*4*D487</f>
        <v>0.62800000000000011</v>
      </c>
      <c r="E489" s="23" t="s">
        <v>507</v>
      </c>
      <c r="F489" s="25" t="s">
        <v>430</v>
      </c>
      <c r="G489" s="25" t="s">
        <v>66</v>
      </c>
      <c r="H489" s="22">
        <v>54</v>
      </c>
      <c r="I489" s="20"/>
      <c r="J489" s="16"/>
      <c r="K489" s="16"/>
    </row>
    <row r="490" spans="1:11" ht="45" x14ac:dyDescent="0.25">
      <c r="A490" s="16">
        <f>A489+1</f>
        <v>444</v>
      </c>
      <c r="B490" s="23" t="s">
        <v>526</v>
      </c>
      <c r="C490" s="16" t="s">
        <v>21</v>
      </c>
      <c r="D490" s="60">
        <f>0.125^2*3.14*0.7*D487</f>
        <v>6.8687499999999999E-2</v>
      </c>
      <c r="E490" s="23" t="s">
        <v>508</v>
      </c>
      <c r="F490" s="25" t="s">
        <v>430</v>
      </c>
      <c r="G490" s="25" t="s">
        <v>66</v>
      </c>
      <c r="H490" s="22">
        <v>54</v>
      </c>
      <c r="I490" s="20"/>
      <c r="J490" s="16"/>
      <c r="K490" s="16"/>
    </row>
    <row r="491" spans="1:11" ht="60" x14ac:dyDescent="0.25">
      <c r="A491" s="16">
        <f t="shared" si="37"/>
        <v>445</v>
      </c>
      <c r="B491" s="23" t="s">
        <v>510</v>
      </c>
      <c r="C491" s="16" t="s">
        <v>6</v>
      </c>
      <c r="D491" s="61">
        <f>(D492+D493+D494+D496+D497+D498+D499)/1000</f>
        <v>4.0522920000000004E-2</v>
      </c>
      <c r="E491" s="23" t="s">
        <v>524</v>
      </c>
      <c r="F491" s="25" t="s">
        <v>430</v>
      </c>
      <c r="G491" s="25" t="s">
        <v>66</v>
      </c>
      <c r="H491" s="22">
        <v>54</v>
      </c>
      <c r="I491" s="20"/>
      <c r="J491" s="16"/>
      <c r="K491" s="24"/>
    </row>
    <row r="492" spans="1:11" ht="45" x14ac:dyDescent="0.25">
      <c r="A492" s="16">
        <f t="shared" si="37"/>
        <v>446</v>
      </c>
      <c r="B492" s="23" t="s">
        <v>495</v>
      </c>
      <c r="C492" s="16" t="s">
        <v>31</v>
      </c>
      <c r="D492" s="60">
        <f>15.7*0.8*0.5*2*D487</f>
        <v>25.12</v>
      </c>
      <c r="E492" s="23" t="s">
        <v>509</v>
      </c>
      <c r="F492" s="25" t="s">
        <v>430</v>
      </c>
      <c r="G492" s="25" t="s">
        <v>66</v>
      </c>
      <c r="H492" s="22">
        <v>54</v>
      </c>
      <c r="I492" s="20"/>
      <c r="J492" s="16"/>
      <c r="K492" s="24"/>
    </row>
    <row r="493" spans="1:11" ht="45" x14ac:dyDescent="0.25">
      <c r="A493" s="16">
        <f t="shared" si="37"/>
        <v>447</v>
      </c>
      <c r="B493" s="23" t="s">
        <v>522</v>
      </c>
      <c r="C493" s="16" t="s">
        <v>31</v>
      </c>
      <c r="D493" s="60">
        <f>15.7*0.4*0.52*2*D487</f>
        <v>13.0624</v>
      </c>
      <c r="E493" s="23" t="s">
        <v>523</v>
      </c>
      <c r="F493" s="25" t="s">
        <v>430</v>
      </c>
      <c r="G493" s="25" t="s">
        <v>66</v>
      </c>
      <c r="H493" s="22">
        <v>54</v>
      </c>
      <c r="I493" s="20"/>
      <c r="J493" s="16"/>
      <c r="K493" s="24"/>
    </row>
    <row r="494" spans="1:11" ht="45" x14ac:dyDescent="0.25">
      <c r="A494" s="16">
        <f t="shared" si="37"/>
        <v>448</v>
      </c>
      <c r="B494" s="23" t="s">
        <v>511</v>
      </c>
      <c r="C494" s="16" t="s">
        <v>31</v>
      </c>
      <c r="D494" s="60">
        <f>15.7*0.13*0.31*D487</f>
        <v>1.26542</v>
      </c>
      <c r="E494" s="23" t="s">
        <v>512</v>
      </c>
      <c r="F494" s="25" t="s">
        <v>430</v>
      </c>
      <c r="G494" s="25" t="s">
        <v>66</v>
      </c>
      <c r="H494" s="22">
        <v>54</v>
      </c>
      <c r="I494" s="20"/>
      <c r="J494" s="16"/>
      <c r="K494" s="24"/>
    </row>
    <row r="495" spans="1:11" ht="45" x14ac:dyDescent="0.25">
      <c r="A495" s="16">
        <f t="shared" si="37"/>
        <v>449</v>
      </c>
      <c r="B495" s="90" t="s">
        <v>515</v>
      </c>
      <c r="C495" s="16" t="s">
        <v>125</v>
      </c>
      <c r="D495" s="70">
        <f>1*2</f>
        <v>2</v>
      </c>
      <c r="E495" s="23" t="s">
        <v>505</v>
      </c>
      <c r="F495" s="25" t="s">
        <v>430</v>
      </c>
      <c r="G495" s="25" t="s">
        <v>66</v>
      </c>
      <c r="H495" s="22">
        <v>54</v>
      </c>
      <c r="I495" s="20"/>
      <c r="J495" s="16"/>
      <c r="K495" s="24"/>
    </row>
    <row r="496" spans="1:11" ht="45" x14ac:dyDescent="0.25">
      <c r="A496" s="16">
        <f t="shared" si="37"/>
        <v>450</v>
      </c>
      <c r="B496" s="90" t="s">
        <v>516</v>
      </c>
      <c r="C496" s="16" t="s">
        <v>31</v>
      </c>
      <c r="D496" s="60">
        <f>23.55*0.05*0.14*D495</f>
        <v>0.32970000000000005</v>
      </c>
      <c r="E496" s="23" t="s">
        <v>517</v>
      </c>
      <c r="F496" s="25" t="s">
        <v>430</v>
      </c>
      <c r="G496" s="25" t="s">
        <v>66</v>
      </c>
      <c r="H496" s="22">
        <v>54</v>
      </c>
      <c r="I496" s="20"/>
      <c r="J496" s="16"/>
      <c r="K496" s="24"/>
    </row>
    <row r="497" spans="1:11" ht="45" x14ac:dyDescent="0.25">
      <c r="A497" s="16">
        <f t="shared" si="37"/>
        <v>451</v>
      </c>
      <c r="B497" s="23" t="s">
        <v>513</v>
      </c>
      <c r="C497" s="16" t="s">
        <v>31</v>
      </c>
      <c r="D497" s="60">
        <f>1.998*0.1*D495</f>
        <v>0.39960000000000001</v>
      </c>
      <c r="E497" s="22" t="s">
        <v>518</v>
      </c>
      <c r="F497" s="25" t="s">
        <v>430</v>
      </c>
      <c r="G497" s="25" t="s">
        <v>66</v>
      </c>
      <c r="H497" s="22">
        <v>54</v>
      </c>
      <c r="I497" s="20"/>
      <c r="J497" s="16"/>
      <c r="K497" s="24"/>
    </row>
    <row r="498" spans="1:11" ht="45" x14ac:dyDescent="0.25">
      <c r="A498" s="16">
        <f t="shared" si="37"/>
        <v>452</v>
      </c>
      <c r="B498" s="23" t="s">
        <v>514</v>
      </c>
      <c r="C498" s="16" t="s">
        <v>31</v>
      </c>
      <c r="D498" s="60">
        <f>1.39*0.05*D495</f>
        <v>0.13899999999999998</v>
      </c>
      <c r="E498" s="22" t="s">
        <v>519</v>
      </c>
      <c r="F498" s="25" t="s">
        <v>430</v>
      </c>
      <c r="G498" s="25" t="s">
        <v>66</v>
      </c>
      <c r="H498" s="22">
        <v>54</v>
      </c>
      <c r="I498" s="20"/>
      <c r="J498" s="16"/>
      <c r="K498" s="24"/>
    </row>
    <row r="499" spans="1:11" ht="45" x14ac:dyDescent="0.25">
      <c r="A499" s="16">
        <f t="shared" si="37"/>
        <v>453</v>
      </c>
      <c r="B499" s="23" t="s">
        <v>521</v>
      </c>
      <c r="C499" s="16" t="s">
        <v>31</v>
      </c>
      <c r="D499" s="60">
        <f>0.94*(0.12+0.1)</f>
        <v>0.20679999999999998</v>
      </c>
      <c r="E499" s="23" t="s">
        <v>520</v>
      </c>
      <c r="F499" s="25" t="s">
        <v>430</v>
      </c>
      <c r="G499" s="25" t="s">
        <v>66</v>
      </c>
      <c r="H499" s="22">
        <v>54</v>
      </c>
      <c r="I499" s="20"/>
      <c r="J499" s="16"/>
      <c r="K499" s="24"/>
    </row>
    <row r="500" spans="1:11" x14ac:dyDescent="0.25">
      <c r="A500" s="95" t="s">
        <v>528</v>
      </c>
      <c r="B500" s="95"/>
      <c r="C500" s="95"/>
      <c r="D500" s="95"/>
      <c r="E500" s="95"/>
      <c r="F500" s="95"/>
      <c r="G500" s="95"/>
      <c r="H500" s="95"/>
      <c r="I500" s="95"/>
      <c r="J500" s="95"/>
      <c r="K500" s="95"/>
    </row>
    <row r="501" spans="1:11" x14ac:dyDescent="0.25">
      <c r="A501" s="95" t="s">
        <v>26</v>
      </c>
      <c r="B501" s="95"/>
      <c r="C501" s="95"/>
      <c r="D501" s="95"/>
      <c r="E501" s="95"/>
      <c r="F501" s="95"/>
      <c r="G501" s="95"/>
      <c r="H501" s="95"/>
      <c r="I501" s="95"/>
      <c r="J501" s="95"/>
      <c r="K501" s="95"/>
    </row>
    <row r="502" spans="1:11" ht="45" x14ac:dyDescent="0.25">
      <c r="A502" s="16">
        <f>A499+1</f>
        <v>454</v>
      </c>
      <c r="B502" s="23" t="s">
        <v>529</v>
      </c>
      <c r="C502" s="16" t="s">
        <v>21</v>
      </c>
      <c r="D502" s="60">
        <f>(27.58+43.9)/2*0.65</f>
        <v>23.230999999999998</v>
      </c>
      <c r="E502" s="23" t="s">
        <v>533</v>
      </c>
      <c r="F502" s="25" t="s">
        <v>531</v>
      </c>
      <c r="G502" s="25" t="s">
        <v>66</v>
      </c>
      <c r="H502" s="22">
        <v>55</v>
      </c>
      <c r="I502" s="36" t="s">
        <v>534</v>
      </c>
      <c r="J502" s="16"/>
      <c r="K502" s="24"/>
    </row>
    <row r="503" spans="1:11" ht="45" x14ac:dyDescent="0.25">
      <c r="A503" s="16">
        <f>A502+1</f>
        <v>455</v>
      </c>
      <c r="B503" s="106" t="s">
        <v>530</v>
      </c>
      <c r="C503" s="16" t="s">
        <v>21</v>
      </c>
      <c r="D503" s="60">
        <f>D502</f>
        <v>23.230999999999998</v>
      </c>
      <c r="E503" s="23" t="s">
        <v>533</v>
      </c>
      <c r="F503" s="25" t="s">
        <v>531</v>
      </c>
      <c r="G503" s="25" t="s">
        <v>66</v>
      </c>
      <c r="H503" s="22">
        <v>55</v>
      </c>
      <c r="I503" s="20"/>
      <c r="J503" s="16"/>
      <c r="K503" s="24"/>
    </row>
    <row r="504" spans="1:11" ht="90" x14ac:dyDescent="0.25">
      <c r="A504" s="16">
        <f t="shared" ref="A504:A517" si="38">A503+1</f>
        <v>456</v>
      </c>
      <c r="B504" s="35" t="s">
        <v>45</v>
      </c>
      <c r="C504" s="26" t="s">
        <v>21</v>
      </c>
      <c r="D504" s="60">
        <f>(21.18+27.58)/2*0.3</f>
        <v>7.3139999999999992</v>
      </c>
      <c r="E504" s="23" t="s">
        <v>532</v>
      </c>
      <c r="F504" s="25" t="s">
        <v>531</v>
      </c>
      <c r="G504" s="25" t="s">
        <v>66</v>
      </c>
      <c r="H504" s="22">
        <v>55</v>
      </c>
      <c r="I504" s="36" t="s">
        <v>59</v>
      </c>
      <c r="J504" s="16"/>
      <c r="K504" s="24"/>
    </row>
    <row r="505" spans="1:11" ht="60" x14ac:dyDescent="0.25">
      <c r="A505" s="16">
        <f t="shared" si="38"/>
        <v>457</v>
      </c>
      <c r="B505" s="35" t="s">
        <v>398</v>
      </c>
      <c r="C505" s="16" t="s">
        <v>6</v>
      </c>
      <c r="D505" s="60">
        <f>D502*1.2+D504*1.96</f>
        <v>42.212639999999993</v>
      </c>
      <c r="E505" s="23" t="s">
        <v>535</v>
      </c>
      <c r="F505" s="25" t="s">
        <v>531</v>
      </c>
      <c r="G505" s="25" t="s">
        <v>66</v>
      </c>
      <c r="H505" s="22">
        <v>55</v>
      </c>
      <c r="I505" s="36"/>
      <c r="J505" s="16"/>
      <c r="K505" s="24"/>
    </row>
    <row r="506" spans="1:11" x14ac:dyDescent="0.25">
      <c r="A506" s="95" t="s">
        <v>27</v>
      </c>
      <c r="B506" s="95"/>
      <c r="C506" s="95"/>
      <c r="D506" s="95"/>
      <c r="E506" s="95"/>
      <c r="F506" s="95"/>
      <c r="G506" s="95"/>
      <c r="H506" s="95"/>
      <c r="I506" s="95"/>
      <c r="J506" s="95"/>
      <c r="K506" s="95"/>
    </row>
    <row r="507" spans="1:11" ht="45" x14ac:dyDescent="0.25">
      <c r="A507" s="16">
        <f>A505+1</f>
        <v>458</v>
      </c>
      <c r="B507" s="23" t="s">
        <v>549</v>
      </c>
      <c r="C507" s="16" t="s">
        <v>30</v>
      </c>
      <c r="D507" s="60">
        <f>3*7.06</f>
        <v>21.18</v>
      </c>
      <c r="E507" s="23" t="s">
        <v>550</v>
      </c>
      <c r="F507" s="25" t="s">
        <v>531</v>
      </c>
      <c r="G507" s="25" t="s">
        <v>66</v>
      </c>
      <c r="H507" s="22">
        <v>55</v>
      </c>
      <c r="I507" s="94"/>
      <c r="J507" s="94"/>
      <c r="K507" s="94"/>
    </row>
    <row r="508" spans="1:11" ht="45" x14ac:dyDescent="0.25">
      <c r="A508" s="16">
        <f>A507+1</f>
        <v>459</v>
      </c>
      <c r="B508" s="23" t="s">
        <v>548</v>
      </c>
      <c r="C508" s="8" t="s">
        <v>31</v>
      </c>
      <c r="D508" s="60">
        <f>D507*0.3</f>
        <v>6.3540000000000001</v>
      </c>
      <c r="E508" s="23" t="s">
        <v>551</v>
      </c>
      <c r="F508" s="25" t="s">
        <v>531</v>
      </c>
      <c r="G508" s="25" t="s">
        <v>66</v>
      </c>
      <c r="H508" s="22">
        <v>55</v>
      </c>
      <c r="I508" s="94"/>
      <c r="J508" s="94"/>
      <c r="K508" s="94"/>
    </row>
    <row r="509" spans="1:11" ht="45" x14ac:dyDescent="0.25">
      <c r="A509" s="16">
        <f>A508+1</f>
        <v>460</v>
      </c>
      <c r="B509" s="23" t="s">
        <v>536</v>
      </c>
      <c r="C509" s="16" t="s">
        <v>21</v>
      </c>
      <c r="D509" s="60">
        <f>(21.18+43.9)/2*0.93</f>
        <v>30.2622</v>
      </c>
      <c r="E509" s="23" t="s">
        <v>537</v>
      </c>
      <c r="F509" s="25" t="s">
        <v>531</v>
      </c>
      <c r="G509" s="25" t="s">
        <v>66</v>
      </c>
      <c r="H509" s="22">
        <v>55</v>
      </c>
      <c r="I509" s="20"/>
      <c r="J509" s="16"/>
      <c r="K509" s="24"/>
    </row>
    <row r="510" spans="1:11" ht="45" x14ac:dyDescent="0.25">
      <c r="A510" s="16">
        <f t="shared" si="38"/>
        <v>461</v>
      </c>
      <c r="B510" s="23" t="s">
        <v>146</v>
      </c>
      <c r="C510" s="16" t="s">
        <v>21</v>
      </c>
      <c r="D510" s="60">
        <f>D509*1.3</f>
        <v>39.340859999999999</v>
      </c>
      <c r="E510" s="23" t="s">
        <v>538</v>
      </c>
      <c r="F510" s="25" t="s">
        <v>531</v>
      </c>
      <c r="G510" s="25" t="s">
        <v>66</v>
      </c>
      <c r="H510" s="22">
        <v>55</v>
      </c>
      <c r="I510" s="28" t="s">
        <v>391</v>
      </c>
      <c r="J510" s="16"/>
      <c r="K510" s="24"/>
    </row>
    <row r="511" spans="1:11" ht="45" x14ac:dyDescent="0.25">
      <c r="A511" s="16">
        <f>A510+1</f>
        <v>462</v>
      </c>
      <c r="B511" s="23" t="s">
        <v>547</v>
      </c>
      <c r="C511" s="16" t="s">
        <v>6</v>
      </c>
      <c r="D511" s="60">
        <f>2.2*4</f>
        <v>8.8000000000000007</v>
      </c>
      <c r="E511" s="23" t="s">
        <v>539</v>
      </c>
      <c r="F511" s="25" t="s">
        <v>531</v>
      </c>
      <c r="G511" s="25" t="s">
        <v>66</v>
      </c>
      <c r="H511" s="22">
        <v>55</v>
      </c>
      <c r="I511" s="81" t="s">
        <v>250</v>
      </c>
      <c r="J511" s="16"/>
      <c r="K511" s="24"/>
    </row>
    <row r="512" spans="1:11" ht="45" x14ac:dyDescent="0.25">
      <c r="A512" s="16">
        <f t="shared" si="38"/>
        <v>463</v>
      </c>
      <c r="B512" s="23" t="s">
        <v>540</v>
      </c>
      <c r="C512" s="16" t="s">
        <v>21</v>
      </c>
      <c r="D512" s="60">
        <f>0.88*4</f>
        <v>3.52</v>
      </c>
      <c r="E512" s="23" t="s">
        <v>541</v>
      </c>
      <c r="F512" s="25" t="s">
        <v>531</v>
      </c>
      <c r="G512" s="25" t="s">
        <v>66</v>
      </c>
      <c r="H512" s="22">
        <v>55</v>
      </c>
      <c r="I512" s="20"/>
      <c r="J512" s="16"/>
      <c r="K512" s="24"/>
    </row>
    <row r="513" spans="1:11" ht="45" x14ac:dyDescent="0.25">
      <c r="A513" s="16">
        <f t="shared" si="38"/>
        <v>464</v>
      </c>
      <c r="B513" s="23" t="s">
        <v>542</v>
      </c>
      <c r="C513" s="16" t="s">
        <v>30</v>
      </c>
      <c r="D513" s="60">
        <f>(5.21+9.87*0.17)*4+3*0.3*3</f>
        <v>30.2516</v>
      </c>
      <c r="E513" s="23" t="s">
        <v>552</v>
      </c>
      <c r="F513" s="25" t="s">
        <v>531</v>
      </c>
      <c r="G513" s="25" t="s">
        <v>66</v>
      </c>
      <c r="H513" s="22">
        <v>55</v>
      </c>
      <c r="I513" s="20"/>
      <c r="J513" s="16"/>
      <c r="K513" s="24"/>
    </row>
    <row r="514" spans="1:11" ht="45" x14ac:dyDescent="0.25">
      <c r="A514" s="16">
        <f t="shared" si="38"/>
        <v>465</v>
      </c>
      <c r="B514" s="23" t="s">
        <v>42</v>
      </c>
      <c r="C514" s="16" t="s">
        <v>31</v>
      </c>
      <c r="D514" s="60">
        <f>D513*5</f>
        <v>151.25800000000001</v>
      </c>
      <c r="E514" s="23" t="s">
        <v>553</v>
      </c>
      <c r="F514" s="25" t="s">
        <v>531</v>
      </c>
      <c r="G514" s="25" t="s">
        <v>66</v>
      </c>
      <c r="H514" s="22">
        <v>55</v>
      </c>
      <c r="I514" s="20"/>
      <c r="J514" s="16"/>
      <c r="K514" s="24"/>
    </row>
    <row r="515" spans="1:11" ht="45" x14ac:dyDescent="0.25">
      <c r="A515" s="16">
        <f t="shared" si="38"/>
        <v>466</v>
      </c>
      <c r="B515" s="23" t="s">
        <v>43</v>
      </c>
      <c r="C515" s="16" t="s">
        <v>31</v>
      </c>
      <c r="D515" s="60">
        <f>D513*0.16</f>
        <v>4.8402560000000001</v>
      </c>
      <c r="E515" s="23" t="s">
        <v>554</v>
      </c>
      <c r="F515" s="25" t="s">
        <v>531</v>
      </c>
      <c r="G515" s="25" t="s">
        <v>66</v>
      </c>
      <c r="H515" s="22">
        <v>55</v>
      </c>
      <c r="I515" s="20"/>
      <c r="J515" s="16"/>
      <c r="K515" s="24"/>
    </row>
    <row r="516" spans="1:11" ht="45" x14ac:dyDescent="0.25">
      <c r="A516" s="16">
        <f t="shared" si="38"/>
        <v>467</v>
      </c>
      <c r="B516" s="23" t="s">
        <v>544</v>
      </c>
      <c r="C516" s="16" t="s">
        <v>6</v>
      </c>
      <c r="D516" s="107">
        <f>0.617*0.4*6/1000</f>
        <v>1.4808000000000002E-3</v>
      </c>
      <c r="E516" s="23" t="s">
        <v>543</v>
      </c>
      <c r="F516" s="25" t="s">
        <v>531</v>
      </c>
      <c r="G516" s="25" t="s">
        <v>66</v>
      </c>
      <c r="H516" s="22">
        <v>55</v>
      </c>
      <c r="I516" s="20"/>
      <c r="J516" s="16"/>
      <c r="K516" s="24"/>
    </row>
    <row r="517" spans="1:11" ht="45" x14ac:dyDescent="0.25">
      <c r="A517" s="16">
        <f t="shared" si="38"/>
        <v>468</v>
      </c>
      <c r="B517" s="23" t="s">
        <v>545</v>
      </c>
      <c r="C517" s="16" t="s">
        <v>21</v>
      </c>
      <c r="D517" s="60">
        <f>0.1*3</f>
        <v>0.30000000000000004</v>
      </c>
      <c r="E517" s="23" t="s">
        <v>546</v>
      </c>
      <c r="F517" s="25" t="s">
        <v>531</v>
      </c>
      <c r="G517" s="25" t="s">
        <v>66</v>
      </c>
      <c r="H517" s="22">
        <v>55</v>
      </c>
      <c r="I517" s="20"/>
      <c r="J517" s="16"/>
      <c r="K517" s="24"/>
    </row>
    <row r="518" spans="1:11" x14ac:dyDescent="0.25">
      <c r="A518" s="105" t="s">
        <v>555</v>
      </c>
      <c r="B518" s="105"/>
      <c r="C518" s="105"/>
      <c r="D518" s="105"/>
      <c r="E518" s="105"/>
      <c r="F518" s="105"/>
      <c r="G518" s="105"/>
      <c r="H518" s="105"/>
      <c r="I518" s="105"/>
      <c r="J518" s="105"/>
      <c r="K518" s="105"/>
    </row>
    <row r="519" spans="1:11" x14ac:dyDescent="0.25">
      <c r="A519" s="105" t="s">
        <v>26</v>
      </c>
      <c r="B519" s="105"/>
      <c r="C519" s="105"/>
      <c r="D519" s="105"/>
      <c r="E519" s="105"/>
      <c r="F519" s="105"/>
      <c r="G519" s="105"/>
      <c r="H519" s="105"/>
      <c r="I519" s="105"/>
      <c r="J519" s="105"/>
      <c r="K519" s="105"/>
    </row>
    <row r="520" spans="1:11" ht="90" x14ac:dyDescent="0.25">
      <c r="A520" s="52">
        <f>A517+1</f>
        <v>469</v>
      </c>
      <c r="B520" s="92" t="s">
        <v>45</v>
      </c>
      <c r="C520" s="93" t="s">
        <v>21</v>
      </c>
      <c r="D520" s="108">
        <f>(52.32+183.35)/2*4.02</f>
        <v>473.69669999999991</v>
      </c>
      <c r="E520" s="109" t="s">
        <v>556</v>
      </c>
      <c r="F520" s="46" t="s">
        <v>561</v>
      </c>
      <c r="G520" s="46" t="s">
        <v>66</v>
      </c>
      <c r="H520" s="47">
        <v>56</v>
      </c>
      <c r="I520" s="91" t="s">
        <v>59</v>
      </c>
      <c r="J520" s="50"/>
      <c r="K520" s="48"/>
    </row>
    <row r="521" spans="1:11" ht="60" x14ac:dyDescent="0.25">
      <c r="A521" s="52">
        <f t="shared" ref="A521:A527" si="39">A520+1</f>
        <v>470</v>
      </c>
      <c r="B521" s="92" t="s">
        <v>398</v>
      </c>
      <c r="C521" s="48" t="s">
        <v>6</v>
      </c>
      <c r="D521" s="108">
        <f>(D520-D522)*1.96</f>
        <v>522.13870799999984</v>
      </c>
      <c r="E521" s="110" t="s">
        <v>560</v>
      </c>
      <c r="F521" s="46" t="s">
        <v>561</v>
      </c>
      <c r="G521" s="46" t="s">
        <v>66</v>
      </c>
      <c r="H521" s="47">
        <v>56</v>
      </c>
      <c r="I521" s="50"/>
      <c r="J521" s="50"/>
      <c r="K521" s="48"/>
    </row>
    <row r="522" spans="1:11" ht="45" x14ac:dyDescent="0.25">
      <c r="A522" s="52">
        <f t="shared" si="39"/>
        <v>471</v>
      </c>
      <c r="B522" s="46" t="s">
        <v>46</v>
      </c>
      <c r="C522" s="48" t="s">
        <v>21</v>
      </c>
      <c r="D522" s="108">
        <f>(132.31+183.35)/2*1.32-0.5^2*3.14*1.32</f>
        <v>207.29939999999999</v>
      </c>
      <c r="E522" s="110" t="s">
        <v>557</v>
      </c>
      <c r="F522" s="46" t="s">
        <v>561</v>
      </c>
      <c r="G522" s="46" t="s">
        <v>66</v>
      </c>
      <c r="H522" s="47">
        <v>56</v>
      </c>
      <c r="I522" s="52"/>
      <c r="J522" s="50"/>
      <c r="K522" s="48"/>
    </row>
    <row r="523" spans="1:11" ht="45" x14ac:dyDescent="0.25">
      <c r="A523" s="52">
        <f t="shared" si="39"/>
        <v>472</v>
      </c>
      <c r="B523" s="46" t="s">
        <v>33</v>
      </c>
      <c r="C523" s="48" t="s">
        <v>21</v>
      </c>
      <c r="D523" s="108">
        <f>D522</f>
        <v>207.29939999999999</v>
      </c>
      <c r="E523" s="110" t="s">
        <v>557</v>
      </c>
      <c r="F523" s="46" t="s">
        <v>561</v>
      </c>
      <c r="G523" s="46" t="s">
        <v>66</v>
      </c>
      <c r="H523" s="47">
        <v>56</v>
      </c>
      <c r="I523" s="52"/>
      <c r="J523" s="50"/>
      <c r="K523" s="48"/>
    </row>
    <row r="524" spans="1:11" ht="60" x14ac:dyDescent="0.25">
      <c r="A524" s="52">
        <f t="shared" si="39"/>
        <v>473</v>
      </c>
      <c r="B524" s="46" t="s">
        <v>158</v>
      </c>
      <c r="C524" s="48" t="s">
        <v>21</v>
      </c>
      <c r="D524" s="108">
        <f>(52.32+132.31)/2*2.7-0.8^2*3.14*7.7-0.5^2*3.14*0.5-2.49-9.05-2.26</f>
        <v>219.58408</v>
      </c>
      <c r="E524" s="110" t="s">
        <v>558</v>
      </c>
      <c r="F524" s="46" t="s">
        <v>561</v>
      </c>
      <c r="G524" s="46" t="s">
        <v>66</v>
      </c>
      <c r="H524" s="47">
        <v>56</v>
      </c>
      <c r="I524" s="52"/>
      <c r="J524" s="50"/>
      <c r="K524" s="48"/>
    </row>
    <row r="525" spans="1:11" ht="60" x14ac:dyDescent="0.25">
      <c r="A525" s="52">
        <f t="shared" si="39"/>
        <v>474</v>
      </c>
      <c r="B525" s="46" t="s">
        <v>33</v>
      </c>
      <c r="C525" s="48" t="s">
        <v>21</v>
      </c>
      <c r="D525" s="108">
        <f>D524</f>
        <v>219.58408</v>
      </c>
      <c r="E525" s="110" t="s">
        <v>558</v>
      </c>
      <c r="F525" s="46" t="s">
        <v>561</v>
      </c>
      <c r="G525" s="46" t="s">
        <v>66</v>
      </c>
      <c r="H525" s="47">
        <v>56</v>
      </c>
      <c r="I525" s="52"/>
      <c r="J525" s="50"/>
      <c r="K525" s="48"/>
    </row>
    <row r="526" spans="1:11" ht="60" x14ac:dyDescent="0.25">
      <c r="A526" s="52">
        <f t="shared" si="39"/>
        <v>475</v>
      </c>
      <c r="B526" s="46" t="s">
        <v>160</v>
      </c>
      <c r="C526" s="48" t="s">
        <v>21</v>
      </c>
      <c r="D526" s="108">
        <f>D524</f>
        <v>219.58408</v>
      </c>
      <c r="E526" s="110" t="s">
        <v>558</v>
      </c>
      <c r="F526" s="46" t="s">
        <v>561</v>
      </c>
      <c r="G526" s="46" t="s">
        <v>66</v>
      </c>
      <c r="H526" s="47">
        <v>56</v>
      </c>
      <c r="I526" s="52"/>
      <c r="J526" s="50"/>
      <c r="K526" s="48"/>
    </row>
    <row r="527" spans="1:11" ht="45" x14ac:dyDescent="0.25">
      <c r="A527" s="52">
        <f t="shared" si="39"/>
        <v>476</v>
      </c>
      <c r="B527" s="49" t="s">
        <v>431</v>
      </c>
      <c r="C527" s="48" t="s">
        <v>21</v>
      </c>
      <c r="D527" s="108">
        <f>D525*1.23</f>
        <v>270.08841840000002</v>
      </c>
      <c r="E527" s="110" t="s">
        <v>559</v>
      </c>
      <c r="F527" s="46" t="s">
        <v>561</v>
      </c>
      <c r="G527" s="46" t="s">
        <v>66</v>
      </c>
      <c r="H527" s="47">
        <v>56</v>
      </c>
      <c r="I527" s="51" t="s">
        <v>389</v>
      </c>
      <c r="J527" s="50"/>
      <c r="K527" s="48"/>
    </row>
    <row r="528" spans="1:11" x14ac:dyDescent="0.25">
      <c r="A528" s="105" t="s">
        <v>27</v>
      </c>
      <c r="B528" s="105"/>
      <c r="C528" s="105"/>
      <c r="D528" s="105"/>
      <c r="E528" s="105"/>
      <c r="F528" s="105"/>
      <c r="G528" s="105"/>
      <c r="H528" s="105"/>
      <c r="I528" s="105"/>
      <c r="J528" s="105"/>
      <c r="K528" s="105"/>
    </row>
    <row r="529" spans="1:11" ht="45" x14ac:dyDescent="0.25">
      <c r="A529" s="52">
        <f>A527+1</f>
        <v>477</v>
      </c>
      <c r="B529" s="49" t="s">
        <v>162</v>
      </c>
      <c r="C529" s="48" t="s">
        <v>21</v>
      </c>
      <c r="D529" s="108">
        <f>2.8*8.9*0.1</f>
        <v>2.492</v>
      </c>
      <c r="E529" s="110" t="s">
        <v>562</v>
      </c>
      <c r="F529" s="46" t="s">
        <v>561</v>
      </c>
      <c r="G529" s="46" t="s">
        <v>66</v>
      </c>
      <c r="H529" s="47">
        <v>56</v>
      </c>
      <c r="I529" s="52"/>
      <c r="J529" s="50"/>
      <c r="K529" s="48"/>
    </row>
    <row r="530" spans="1:11" ht="45" x14ac:dyDescent="0.25">
      <c r="A530" s="52">
        <f t="shared" ref="A530:A543" si="40">A529+1</f>
        <v>478</v>
      </c>
      <c r="B530" s="49" t="s">
        <v>164</v>
      </c>
      <c r="C530" s="48" t="s">
        <v>21</v>
      </c>
      <c r="D530" s="108">
        <f>D529</f>
        <v>2.492</v>
      </c>
      <c r="E530" s="110" t="s">
        <v>562</v>
      </c>
      <c r="F530" s="46" t="s">
        <v>561</v>
      </c>
      <c r="G530" s="46" t="s">
        <v>66</v>
      </c>
      <c r="H530" s="47">
        <v>56</v>
      </c>
      <c r="I530" s="52"/>
      <c r="J530" s="50"/>
      <c r="K530" s="48"/>
    </row>
    <row r="531" spans="1:11" ht="45" x14ac:dyDescent="0.25">
      <c r="A531" s="52">
        <f t="shared" si="40"/>
        <v>479</v>
      </c>
      <c r="B531" s="49" t="s">
        <v>28</v>
      </c>
      <c r="C531" s="48" t="s">
        <v>6</v>
      </c>
      <c r="D531" s="111">
        <f>D532+D533+D534</f>
        <v>0.89273334000000015</v>
      </c>
      <c r="E531" s="110" t="s">
        <v>566</v>
      </c>
      <c r="F531" s="46" t="s">
        <v>561</v>
      </c>
      <c r="G531" s="46" t="s">
        <v>66</v>
      </c>
      <c r="H531" s="47">
        <v>56</v>
      </c>
      <c r="I531" s="52"/>
      <c r="J531" s="50"/>
      <c r="K531" s="48"/>
    </row>
    <row r="532" spans="1:11" ht="45" x14ac:dyDescent="0.25">
      <c r="A532" s="52">
        <f t="shared" si="40"/>
        <v>480</v>
      </c>
      <c r="B532" s="49" t="s">
        <v>32</v>
      </c>
      <c r="C532" s="48" t="s">
        <v>6</v>
      </c>
      <c r="D532" s="111">
        <f>0.888*(8.65*28+2.55*88+1.86*216)/1000</f>
        <v>0.77110368000000018</v>
      </c>
      <c r="E532" s="110" t="s">
        <v>563</v>
      </c>
      <c r="F532" s="46" t="s">
        <v>561</v>
      </c>
      <c r="G532" s="46" t="s">
        <v>66</v>
      </c>
      <c r="H532" s="47">
        <v>56</v>
      </c>
      <c r="I532" s="52"/>
      <c r="J532" s="50"/>
      <c r="K532" s="48"/>
    </row>
    <row r="533" spans="1:11" ht="45" x14ac:dyDescent="0.25">
      <c r="A533" s="52">
        <f t="shared" si="40"/>
        <v>481</v>
      </c>
      <c r="B533" s="49" t="s">
        <v>185</v>
      </c>
      <c r="C533" s="48" t="s">
        <v>6</v>
      </c>
      <c r="D533" s="111">
        <f>1.578*2*10/1000</f>
        <v>3.1560000000000005E-2</v>
      </c>
      <c r="E533" s="110" t="s">
        <v>564</v>
      </c>
      <c r="F533" s="46" t="s">
        <v>561</v>
      </c>
      <c r="G533" s="46" t="s">
        <v>66</v>
      </c>
      <c r="H533" s="47">
        <v>56</v>
      </c>
      <c r="I533" s="52"/>
      <c r="J533" s="50"/>
      <c r="K533" s="48"/>
    </row>
    <row r="534" spans="1:11" ht="45" x14ac:dyDescent="0.25">
      <c r="A534" s="52">
        <f t="shared" si="40"/>
        <v>482</v>
      </c>
      <c r="B534" s="49" t="s">
        <v>165</v>
      </c>
      <c r="C534" s="48" t="s">
        <v>6</v>
      </c>
      <c r="D534" s="111">
        <f>0.617*(2.55*36+0.43*126)/1000</f>
        <v>9.0069659999999996E-2</v>
      </c>
      <c r="E534" s="110" t="s">
        <v>565</v>
      </c>
      <c r="F534" s="46" t="s">
        <v>561</v>
      </c>
      <c r="G534" s="46" t="s">
        <v>66</v>
      </c>
      <c r="H534" s="47">
        <v>56</v>
      </c>
      <c r="I534" s="52"/>
      <c r="J534" s="50"/>
      <c r="K534" s="48"/>
    </row>
    <row r="535" spans="1:11" ht="45" x14ac:dyDescent="0.25">
      <c r="A535" s="52">
        <f t="shared" si="40"/>
        <v>483</v>
      </c>
      <c r="B535" s="49" t="s">
        <v>48</v>
      </c>
      <c r="C535" s="48" t="s">
        <v>21</v>
      </c>
      <c r="D535" s="108">
        <f>3*13*0.4</f>
        <v>15.600000000000001</v>
      </c>
      <c r="E535" s="110" t="s">
        <v>567</v>
      </c>
      <c r="F535" s="46" t="s">
        <v>561</v>
      </c>
      <c r="G535" s="46" t="s">
        <v>66</v>
      </c>
      <c r="H535" s="47">
        <v>56</v>
      </c>
      <c r="I535" s="52"/>
      <c r="J535" s="50"/>
      <c r="K535" s="48"/>
    </row>
    <row r="536" spans="1:11" ht="45" x14ac:dyDescent="0.25">
      <c r="A536" s="52">
        <f t="shared" si="40"/>
        <v>484</v>
      </c>
      <c r="B536" s="49" t="s">
        <v>168</v>
      </c>
      <c r="C536" s="48" t="s">
        <v>21</v>
      </c>
      <c r="D536" s="108">
        <f>D535</f>
        <v>15.600000000000001</v>
      </c>
      <c r="E536" s="110" t="s">
        <v>567</v>
      </c>
      <c r="F536" s="46" t="s">
        <v>561</v>
      </c>
      <c r="G536" s="46" t="s">
        <v>66</v>
      </c>
      <c r="H536" s="47">
        <v>56</v>
      </c>
      <c r="I536" s="52"/>
      <c r="J536" s="50"/>
      <c r="K536" s="48"/>
    </row>
    <row r="537" spans="1:11" ht="45" x14ac:dyDescent="0.25">
      <c r="A537" s="52">
        <f t="shared" si="40"/>
        <v>485</v>
      </c>
      <c r="B537" s="49" t="s">
        <v>188</v>
      </c>
      <c r="C537" s="48" t="s">
        <v>21</v>
      </c>
      <c r="D537" s="108">
        <f>2.6*8.7*0.1</f>
        <v>2.262</v>
      </c>
      <c r="E537" s="110" t="s">
        <v>568</v>
      </c>
      <c r="F537" s="46" t="s">
        <v>561</v>
      </c>
      <c r="G537" s="46" t="s">
        <v>66</v>
      </c>
      <c r="H537" s="47">
        <v>56</v>
      </c>
      <c r="I537" s="52"/>
      <c r="J537" s="50"/>
      <c r="K537" s="48"/>
    </row>
    <row r="538" spans="1:11" ht="45" x14ac:dyDescent="0.25">
      <c r="A538" s="52">
        <f t="shared" si="40"/>
        <v>486</v>
      </c>
      <c r="B538" s="49" t="s">
        <v>431</v>
      </c>
      <c r="C538" s="48" t="s">
        <v>21</v>
      </c>
      <c r="D538" s="108">
        <f>D537*1.23</f>
        <v>2.78226</v>
      </c>
      <c r="E538" s="110" t="s">
        <v>569</v>
      </c>
      <c r="F538" s="46" t="s">
        <v>561</v>
      </c>
      <c r="G538" s="46" t="s">
        <v>66</v>
      </c>
      <c r="H538" s="47">
        <v>56</v>
      </c>
      <c r="I538" s="51" t="s">
        <v>389</v>
      </c>
      <c r="J538" s="50"/>
      <c r="K538" s="48"/>
    </row>
    <row r="539" spans="1:11" ht="45" x14ac:dyDescent="0.25">
      <c r="A539" s="52">
        <f t="shared" si="40"/>
        <v>487</v>
      </c>
      <c r="B539" s="49" t="s">
        <v>527</v>
      </c>
      <c r="C539" s="48" t="s">
        <v>125</v>
      </c>
      <c r="D539" s="53">
        <v>5</v>
      </c>
      <c r="E539" s="54"/>
      <c r="F539" s="46" t="s">
        <v>561</v>
      </c>
      <c r="G539" s="46" t="s">
        <v>66</v>
      </c>
      <c r="H539" s="47">
        <v>56</v>
      </c>
      <c r="I539" s="51"/>
      <c r="J539" s="50"/>
      <c r="K539" s="48"/>
    </row>
    <row r="540" spans="1:11" ht="45" x14ac:dyDescent="0.25">
      <c r="A540" s="52">
        <f t="shared" si="40"/>
        <v>488</v>
      </c>
      <c r="B540" s="49" t="s">
        <v>570</v>
      </c>
      <c r="C540" s="48" t="s">
        <v>125</v>
      </c>
      <c r="D540" s="53">
        <f>D539</f>
        <v>5</v>
      </c>
      <c r="E540" s="54"/>
      <c r="F540" s="46" t="s">
        <v>561</v>
      </c>
      <c r="G540" s="46" t="s">
        <v>66</v>
      </c>
      <c r="H540" s="47">
        <v>56</v>
      </c>
      <c r="I540" s="51"/>
      <c r="J540" s="50"/>
      <c r="K540" s="48"/>
    </row>
    <row r="541" spans="1:11" ht="45" x14ac:dyDescent="0.25">
      <c r="A541" s="52">
        <f t="shared" si="40"/>
        <v>489</v>
      </c>
      <c r="B541" s="49" t="s">
        <v>169</v>
      </c>
      <c r="C541" s="48" t="s">
        <v>30</v>
      </c>
      <c r="D541" s="108">
        <f>2.6*8.7+22.6*0.4</f>
        <v>31.659999999999997</v>
      </c>
      <c r="E541" s="110" t="s">
        <v>571</v>
      </c>
      <c r="F541" s="46" t="s">
        <v>561</v>
      </c>
      <c r="G541" s="46" t="s">
        <v>66</v>
      </c>
      <c r="H541" s="47">
        <v>56</v>
      </c>
      <c r="I541" s="52"/>
      <c r="J541" s="50"/>
      <c r="K541" s="48"/>
    </row>
    <row r="542" spans="1:11" ht="45" x14ac:dyDescent="0.25">
      <c r="A542" s="52">
        <f t="shared" si="40"/>
        <v>490</v>
      </c>
      <c r="B542" s="49" t="s">
        <v>42</v>
      </c>
      <c r="C542" s="48" t="s">
        <v>31</v>
      </c>
      <c r="D542" s="108">
        <f>D541*5</f>
        <v>158.29999999999998</v>
      </c>
      <c r="E542" s="110" t="s">
        <v>572</v>
      </c>
      <c r="F542" s="46" t="s">
        <v>561</v>
      </c>
      <c r="G542" s="46" t="s">
        <v>66</v>
      </c>
      <c r="H542" s="47">
        <v>56</v>
      </c>
      <c r="I542" s="52"/>
      <c r="J542" s="50"/>
      <c r="K542" s="48"/>
    </row>
    <row r="543" spans="1:11" ht="45" x14ac:dyDescent="0.25">
      <c r="A543" s="52">
        <f t="shared" si="40"/>
        <v>491</v>
      </c>
      <c r="B543" s="49" t="s">
        <v>43</v>
      </c>
      <c r="C543" s="48" t="s">
        <v>31</v>
      </c>
      <c r="D543" s="108">
        <f>D541*0.16</f>
        <v>5.0655999999999999</v>
      </c>
      <c r="E543" s="110" t="s">
        <v>573</v>
      </c>
      <c r="F543" s="46" t="s">
        <v>561</v>
      </c>
      <c r="G543" s="46" t="s">
        <v>66</v>
      </c>
      <c r="H543" s="47">
        <v>56</v>
      </c>
      <c r="I543" s="52"/>
      <c r="J543" s="50"/>
      <c r="K543" s="48"/>
    </row>
  </sheetData>
  <mergeCells count="60">
    <mergeCell ref="A518:K518"/>
    <mergeCell ref="A519:K519"/>
    <mergeCell ref="A528:K528"/>
    <mergeCell ref="A500:K500"/>
    <mergeCell ref="A501:K501"/>
    <mergeCell ref="A506:K506"/>
    <mergeCell ref="A475:K475"/>
    <mergeCell ref="A476:K476"/>
    <mergeCell ref="A479:K479"/>
    <mergeCell ref="A464:K464"/>
    <mergeCell ref="A433:K433"/>
    <mergeCell ref="A434:K434"/>
    <mergeCell ref="A443:K443"/>
    <mergeCell ref="A454:K454"/>
    <mergeCell ref="A455:K455"/>
    <mergeCell ref="A134:K134"/>
    <mergeCell ref="A140:K140"/>
    <mergeCell ref="A374:K374"/>
    <mergeCell ref="A375:K375"/>
    <mergeCell ref="A379:K379"/>
    <mergeCell ref="A307:K307"/>
    <mergeCell ref="A172:K172"/>
    <mergeCell ref="A173:K173"/>
    <mergeCell ref="A182:K182"/>
    <mergeCell ref="A193:K193"/>
    <mergeCell ref="A194:K194"/>
    <mergeCell ref="A241:K241"/>
    <mergeCell ref="A250:K250"/>
    <mergeCell ref="A203:K203"/>
    <mergeCell ref="A214:K214"/>
    <mergeCell ref="A215:K215"/>
    <mergeCell ref="A116:K116"/>
    <mergeCell ref="A117:K117"/>
    <mergeCell ref="A133:K133"/>
    <mergeCell ref="A122:K122"/>
    <mergeCell ref="A99:K99"/>
    <mergeCell ref="A100:K100"/>
    <mergeCell ref="A105:K105"/>
    <mergeCell ref="A88:K88"/>
    <mergeCell ref="A17:K17"/>
    <mergeCell ref="A18:K18"/>
    <mergeCell ref="A23:K23"/>
    <mergeCell ref="A34:K34"/>
    <mergeCell ref="A44:K44"/>
    <mergeCell ref="A35:K35"/>
    <mergeCell ref="A65:K65"/>
    <mergeCell ref="A66:K66"/>
    <mergeCell ref="A71:K71"/>
    <mergeCell ref="A82:K82"/>
    <mergeCell ref="A83:K83"/>
    <mergeCell ref="A240:K240"/>
    <mergeCell ref="A224:K224"/>
    <mergeCell ref="A416:K416"/>
    <mergeCell ref="A417:K417"/>
    <mergeCell ref="A422:K422"/>
    <mergeCell ref="A395:K395"/>
    <mergeCell ref="A405:K405"/>
    <mergeCell ref="A396:K396"/>
    <mergeCell ref="A308:K308"/>
    <mergeCell ref="A317:K317"/>
  </mergeCells>
  <phoneticPr fontId="18" type="noConversion"/>
  <pageMargins left="0.7" right="0.7" top="0.75" bottom="0.75" header="0.3" footer="0.3"/>
  <pageSetup paperSize="9" scale="52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Вариант для импорта</vt:lpstr>
      <vt:lpstr>'Вариант для импорта'!Область_печати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2026-10-16T11:24:27Z</dcterms:modified>
</cp:coreProperties>
</file>