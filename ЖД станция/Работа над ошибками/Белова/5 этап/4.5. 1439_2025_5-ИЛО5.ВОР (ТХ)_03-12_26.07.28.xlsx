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BE7073CF-478D-43E7-B1A0-AAF2C68E5EFF}" xr6:coauthVersionLast="47" xr6:coauthVersionMax="47" xr10:uidLastSave="{00000000-0000-0000-0000-000000000000}"/>
  <bookViews>
    <workbookView xWindow="57615" yWindow="450" windowWidth="28785" windowHeight="15900" xr2:uid="{00000000-000D-0000-FFFF-FFFF00000000}"/>
  </bookViews>
  <sheets>
    <sheet name="Вариант для импорта" sheetId="4" r:id="rId1"/>
  </sheets>
  <definedNames>
    <definedName name="_xlnm.Print_Area" localSheetId="0">'Вариант для импорта'!$A$1:$I$55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4" l="1"/>
  <c r="J29" i="4"/>
  <c r="J28" i="4" l="1"/>
  <c r="J27" i="4"/>
  <c r="J26" i="4"/>
  <c r="J25" i="4"/>
  <c r="J36" i="4"/>
  <c r="J37" i="4"/>
  <c r="J38" i="4"/>
  <c r="J39" i="4"/>
  <c r="J40" i="4"/>
  <c r="J41" i="4"/>
  <c r="J42" i="4"/>
  <c r="J43" i="4"/>
  <c r="J44" i="4"/>
  <c r="J45" i="4"/>
  <c r="J46" i="4"/>
  <c r="J49" i="4"/>
  <c r="J50" i="4"/>
  <c r="J51" i="4"/>
  <c r="J52" i="4"/>
  <c r="J53" i="4"/>
  <c r="J54" i="4"/>
  <c r="J55" i="4"/>
  <c r="D41" i="4"/>
  <c r="J35" i="4" l="1"/>
  <c r="J34" i="4"/>
  <c r="J23" i="4"/>
  <c r="J22" i="4"/>
  <c r="J33" i="4"/>
  <c r="J24" i="4"/>
  <c r="J21" i="4"/>
  <c r="J48" i="4"/>
</calcChain>
</file>

<file path=xl/sharedStrings.xml><?xml version="1.0" encoding="utf-8"?>
<sst xmlns="http://schemas.openxmlformats.org/spreadsheetml/2006/main" count="218" uniqueCount="87">
  <si>
    <t>№ п.п.</t>
  </si>
  <si>
    <t>Наименование работ, ресурсов, затрат по проекту</t>
  </si>
  <si>
    <t>Ед. изм.</t>
  </si>
  <si>
    <t>Объем работ / Количество</t>
  </si>
  <si>
    <t>Формула расчета объемов работ и расхода материалов, потребности ресурсов</t>
  </si>
  <si>
    <t>Ссылка на чертежи, спецификации в проектной документации</t>
  </si>
  <si>
    <t>6.1</t>
  </si>
  <si>
    <t>6.2</t>
  </si>
  <si>
    <t>Наименование объекта капитального строительства</t>
  </si>
  <si>
    <t>Документ</t>
  </si>
  <si>
    <t>Ведомость объемов работ</t>
  </si>
  <si>
    <t>Версия</t>
  </si>
  <si>
    <t>Наименование стройки</t>
  </si>
  <si>
    <t>Ведомость объемов работ №</t>
  </si>
  <si>
    <t>Дата составления</t>
  </si>
  <si>
    <t>Основание((наименование раздела (подраздела) ПД))</t>
  </si>
  <si>
    <t>Составил ФИО</t>
  </si>
  <si>
    <t>Составил должность</t>
  </si>
  <si>
    <t>Проверил ФИО</t>
  </si>
  <si>
    <t>Проверил должность</t>
  </si>
  <si>
    <t>Наименование файла</t>
  </si>
  <si>
    <t>м3</t>
  </si>
  <si>
    <t>Идентификатор</t>
  </si>
  <si>
    <t>Тип позиции</t>
  </si>
  <si>
    <t>1_00</t>
  </si>
  <si>
    <t>Сундеев</t>
  </si>
  <si>
    <t>Тастайбеков</t>
  </si>
  <si>
    <t>ГИП</t>
  </si>
  <si>
    <t>Инфраструктура индустриального парка «Этилен-600», Железнодорожная инфраструктура.</t>
  </si>
  <si>
    <t>Инженер</t>
  </si>
  <si>
    <t>Номер страниц (через пробел)</t>
  </si>
  <si>
    <t>Дополнительная информация (комментарий).</t>
  </si>
  <si>
    <t>работа</t>
  </si>
  <si>
    <t>Модульный пункт обогрева</t>
  </si>
  <si>
    <t>изделие</t>
  </si>
  <si>
    <t>Монтаж туалетного модуля полной заводской готовности мсассой 0,5 т</t>
  </si>
  <si>
    <t>Туалетный модуль</t>
  </si>
  <si>
    <t>Монтажные работы модульных зданий выполняются краном грузоподъемным на автомобильном ходу</t>
  </si>
  <si>
    <t xml:space="preserve">Монтаж модульного пункта обогрева полной заводской готовности мсассой 3,0 т </t>
  </si>
  <si>
    <t>Усложняющие факторы: 
1. Производство работ осуществляется на территории предприятия с наличием в зоне производства работ одного или нескольких из следующих факторов: разветвленной сети транспортных и инженерных коммуникаций; стесненных условий для складирования материалов; действующего технологического оборудования; движения технологического транспорта К1=1,15;
2. Производство работ на предприятиях, где в силу режима секретности и (или) внутриобъектового режима применяются специальный допуск, специальный пропуск и другие ограничения для рабочих, К2=1,15</t>
  </si>
  <si>
    <t>Сборка временных зданий со стальным каркасом и многослойными
панелями санитарно-бытового назначения</t>
  </si>
  <si>
    <t>к-т</t>
  </si>
  <si>
    <t>шт</t>
  </si>
  <si>
    <t>Участок в районе стрелкок №5, 7, 35, 37, 39, 41</t>
  </si>
  <si>
    <t>Четная горловина</t>
  </si>
  <si>
    <t>Монтаж кладовой полной заводской готовности мсассой 0,5 т</t>
  </si>
  <si>
    <t>Кладовая</t>
  </si>
  <si>
    <t>Модуль порошкового пожаротушения МПП(Н)-2-И-ГЭ-У2</t>
  </si>
  <si>
    <t>Монтаж модуля порошкового пожаротушение</t>
  </si>
  <si>
    <t>ГЭСНм 11-05-001-01</t>
  </si>
  <si>
    <t xml:space="preserve">Устройство систем холодного водоснабжения во временных зданиях: бытовых помещений </t>
  </si>
  <si>
    <t>Устройство системы канализации во временных зданиях: бытовых помещений</t>
  </si>
  <si>
    <t>Нечетная горловина</t>
  </si>
  <si>
    <t>Монтаж стеллажа для башмаков с врезным замком А.1760.00.000</t>
  </si>
  <si>
    <t>Стеллаж для башмаков с врезным замком А.1760.00.000</t>
  </si>
  <si>
    <t>Шт</t>
  </si>
  <si>
    <t>кг</t>
  </si>
  <si>
    <t>Башмак тормозной</t>
  </si>
  <si>
    <t>Крышка лотка Кр 1,50-ЛК 90.90</t>
  </si>
  <si>
    <t>Разделка отсыпки шебня вручную</t>
  </si>
  <si>
    <t>Вертикальное сверление отверстий в монолитном железобетоне диаметром 15 мм глубина 100</t>
  </si>
  <si>
    <t>Шт.</t>
  </si>
  <si>
    <t>Анкерный болт 6.2.М12×80 09Г2С-6 ГОСТ 24379.1-2012</t>
  </si>
  <si>
    <t>Профессиональная носимая радиостанция Элодия 351М</t>
  </si>
  <si>
    <t>Портативная радиостанция Motorola DP4601E PBER302FE</t>
  </si>
  <si>
    <t>шт.</t>
  </si>
  <si>
    <t>60</t>
  </si>
  <si>
    <t>6</t>
  </si>
  <si>
    <t>т</t>
  </si>
  <si>
    <t>0,297*6</t>
  </si>
  <si>
    <t>0,13</t>
  </si>
  <si>
    <t>24</t>
  </si>
  <si>
    <t>10</t>
  </si>
  <si>
    <r>
      <t>м</t>
    </r>
    <r>
      <rPr>
        <vertAlign val="superscript"/>
        <sz val="10"/>
        <rFont val="Calibri"/>
        <family val="2"/>
        <charset val="204"/>
        <scheme val="minor"/>
      </rPr>
      <t>3</t>
    </r>
  </si>
  <si>
    <t>Раздел ПД №4 Подраздел №4 ИЛО5 (ТХ) (1439_2025_5)</t>
  </si>
  <si>
    <t xml:space="preserve">1439/2025/5-ИЛО5-ГЧ04 лист 1
</t>
  </si>
  <si>
    <t xml:space="preserve">1439/2025/5-ИЛО5-ГЧ05 лист 1
</t>
  </si>
  <si>
    <t xml:space="preserve">1439/2025/5-ИЛО5-ГЧ03 лист 1
</t>
  </si>
  <si>
    <t xml:space="preserve">1439/2025/5-ИЛО5-ГЧ02 лист 1
</t>
  </si>
  <si>
    <t>Раздел ПД №4 Часть №5 ИЛО5 (ТХ_ОП)(1439_2025_5)</t>
  </si>
  <si>
    <t>Сборка временных зданий со стальным каркасом и многослойными
панелями санитарно-бытового назначения (МК АТС)</t>
  </si>
  <si>
    <t>Блочно модульное здание модуля МК АТС. Комплект из 5 модулей. Общий вес 34,5 т</t>
  </si>
  <si>
    <t xml:space="preserve">1439/2025/5-ИЛО5-ТЧ лист 6
</t>
  </si>
  <si>
    <t xml:space="preserve">1439/2025/5-ИЛО5-ТЧ лист 7
</t>
  </si>
  <si>
    <t>Этап №5. Строительство железнодорожных путей необщего пользования (приемоотправочный парк ст. Круглое Поле)</t>
  </si>
  <si>
    <t xml:space="preserve"> </t>
  </si>
  <si>
    <t>ВОР-03-12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</si>
</sst>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  <charset val="204"/>
    </font>
    <font>
      <sz val="24"/>
      <color rgb="FF444444"/>
      <name val="PT Sans"/>
      <family val="2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vertAlign val="superscript"/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ill="1" applyAlignment="1"/>
    <xf numFmtId="0" fontId="0" fillId="0" borderId="0" xfId="0" applyFill="1"/>
    <xf numFmtId="14" fontId="0" fillId="0" borderId="0" xfId="0" applyNumberFormat="1" applyFill="1"/>
    <xf numFmtId="0" fontId="3" fillId="0" borderId="0" xfId="0" applyFont="1" applyFill="1"/>
    <xf numFmtId="0" fontId="3" fillId="0" borderId="0" xfId="0" applyFont="1" applyFill="1" applyAlignment="1"/>
    <xf numFmtId="49" fontId="0" fillId="0" borderId="0" xfId="0" applyNumberFormat="1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vertical="center" wrapText="1"/>
    </xf>
    <xf numFmtId="1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0" xfId="0" applyFill="1" applyAlignment="1">
      <alignment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wrapText="1"/>
    </xf>
    <xf numFmtId="0" fontId="1" fillId="0" borderId="0" xfId="0" applyFont="1" applyFill="1"/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5"/>
  <sheetViews>
    <sheetView tabSelected="1" view="pageBreakPreview" topLeftCell="A34" zoomScale="85" zoomScaleNormal="85" zoomScaleSheetLayoutView="85" workbookViewId="0">
      <selection activeCell="A36" sqref="A36:XFD36"/>
    </sheetView>
  </sheetViews>
  <sheetFormatPr defaultColWidth="9.140625" defaultRowHeight="15" x14ac:dyDescent="0.25"/>
  <cols>
    <col min="1" max="1" width="16" style="2" customWidth="1"/>
    <col min="2" max="2" width="41.85546875" style="2" customWidth="1"/>
    <col min="3" max="3" width="11.28515625" style="2" customWidth="1"/>
    <col min="4" max="4" width="19" style="2" customWidth="1"/>
    <col min="5" max="5" width="24" style="2" customWidth="1"/>
    <col min="6" max="6" width="41.85546875" style="2" customWidth="1"/>
    <col min="7" max="7" width="23.28515625" style="7" customWidth="1"/>
    <col min="8" max="8" width="20.28515625" style="6" customWidth="1"/>
    <col min="9" max="9" width="30.28515625" style="2" customWidth="1"/>
    <col min="10" max="10" width="9.140625" style="8"/>
    <col min="11" max="11" width="10.42578125" style="7" customWidth="1"/>
    <col min="12" max="12" width="48.85546875" style="2" customWidth="1"/>
    <col min="13" max="16384" width="9.140625" style="2"/>
  </cols>
  <sheetData>
    <row r="1" spans="1:11" x14ac:dyDescent="0.25">
      <c r="A1" s="4" t="s">
        <v>9</v>
      </c>
      <c r="D1" s="2" t="s">
        <v>10</v>
      </c>
      <c r="H1" s="2"/>
    </row>
    <row r="2" spans="1:11" x14ac:dyDescent="0.25">
      <c r="A2" s="4" t="s">
        <v>11</v>
      </c>
      <c r="D2" s="2" t="s">
        <v>24</v>
      </c>
      <c r="H2" s="2"/>
    </row>
    <row r="3" spans="1:11" x14ac:dyDescent="0.25">
      <c r="A3" s="4"/>
      <c r="H3" s="2"/>
    </row>
    <row r="4" spans="1:11" x14ac:dyDescent="0.25">
      <c r="A4" s="5" t="s">
        <v>12</v>
      </c>
      <c r="B4" s="1"/>
      <c r="C4" s="1"/>
      <c r="D4" s="1" t="s">
        <v>28</v>
      </c>
      <c r="E4" s="1"/>
      <c r="F4" s="1"/>
      <c r="H4" s="1"/>
      <c r="I4" s="1"/>
    </row>
    <row r="5" spans="1:11" x14ac:dyDescent="0.25">
      <c r="A5" s="5" t="s">
        <v>8</v>
      </c>
      <c r="B5" s="1"/>
      <c r="C5" s="1"/>
      <c r="D5" s="2" t="s">
        <v>84</v>
      </c>
      <c r="E5" s="1"/>
      <c r="F5" s="1"/>
      <c r="H5" s="1"/>
      <c r="I5" s="1"/>
    </row>
    <row r="6" spans="1:11" x14ac:dyDescent="0.25">
      <c r="A6" s="5" t="s">
        <v>13</v>
      </c>
      <c r="B6" s="1"/>
      <c r="C6" s="1"/>
      <c r="D6" s="10" t="s">
        <v>86</v>
      </c>
      <c r="E6" s="1"/>
      <c r="F6" s="1"/>
      <c r="H6" s="1"/>
      <c r="I6" s="1"/>
    </row>
    <row r="7" spans="1:11" x14ac:dyDescent="0.25">
      <c r="A7" s="5" t="s">
        <v>15</v>
      </c>
      <c r="B7" s="1"/>
      <c r="C7" s="1"/>
      <c r="D7" s="1" t="s">
        <v>74</v>
      </c>
      <c r="E7" s="1"/>
      <c r="F7" s="1"/>
      <c r="H7" s="1"/>
      <c r="I7" s="1"/>
    </row>
    <row r="8" spans="1:11" x14ac:dyDescent="0.25">
      <c r="A8" s="5" t="s">
        <v>14</v>
      </c>
      <c r="D8" s="3">
        <v>46198</v>
      </c>
      <c r="H8" s="2"/>
    </row>
    <row r="9" spans="1:11" x14ac:dyDescent="0.25">
      <c r="A9" s="5"/>
      <c r="H9" s="2"/>
    </row>
    <row r="10" spans="1:11" x14ac:dyDescent="0.25">
      <c r="A10" s="5" t="s">
        <v>16</v>
      </c>
      <c r="D10" s="2" t="s">
        <v>26</v>
      </c>
      <c r="H10" s="2"/>
    </row>
    <row r="11" spans="1:11" x14ac:dyDescent="0.25">
      <c r="A11" s="5" t="s">
        <v>17</v>
      </c>
      <c r="D11" s="9" t="s">
        <v>29</v>
      </c>
      <c r="H11" s="2"/>
    </row>
    <row r="12" spans="1:11" x14ac:dyDescent="0.25">
      <c r="A12" s="5" t="s">
        <v>18</v>
      </c>
      <c r="D12" s="2" t="s">
        <v>25</v>
      </c>
      <c r="H12" s="2"/>
    </row>
    <row r="13" spans="1:11" x14ac:dyDescent="0.25">
      <c r="A13" s="5" t="s">
        <v>19</v>
      </c>
      <c r="D13" s="2" t="s">
        <v>27</v>
      </c>
      <c r="H13" s="2"/>
    </row>
    <row r="14" spans="1:11" x14ac:dyDescent="0.25">
      <c r="H14" s="2"/>
    </row>
    <row r="15" spans="1:11" s="12" customFormat="1" ht="60.75" customHeight="1" x14ac:dyDescent="0.25">
      <c r="A15" s="11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 t="s">
        <v>5</v>
      </c>
      <c r="G15" s="11" t="s">
        <v>20</v>
      </c>
      <c r="H15" s="11" t="s">
        <v>30</v>
      </c>
      <c r="I15" s="11" t="s">
        <v>31</v>
      </c>
      <c r="J15" s="11" t="s">
        <v>22</v>
      </c>
      <c r="K15" s="11" t="s">
        <v>23</v>
      </c>
    </row>
    <row r="16" spans="1:11" s="15" customFormat="1" x14ac:dyDescent="0.25">
      <c r="A16" s="13">
        <v>1</v>
      </c>
      <c r="B16" s="13">
        <v>2</v>
      </c>
      <c r="C16" s="13">
        <v>3</v>
      </c>
      <c r="D16" s="13">
        <v>4</v>
      </c>
      <c r="E16" s="13">
        <v>5</v>
      </c>
      <c r="F16" s="13">
        <v>6</v>
      </c>
      <c r="G16" s="14" t="s">
        <v>6</v>
      </c>
      <c r="H16" s="14" t="s">
        <v>7</v>
      </c>
      <c r="I16" s="13">
        <v>7</v>
      </c>
      <c r="J16" s="13">
        <v>8</v>
      </c>
      <c r="K16" s="13">
        <v>9</v>
      </c>
    </row>
    <row r="17" spans="1:12" x14ac:dyDescent="0.25">
      <c r="A17" s="43" t="s">
        <v>37</v>
      </c>
      <c r="B17" s="44"/>
      <c r="C17" s="44"/>
      <c r="D17" s="44"/>
      <c r="E17" s="44"/>
      <c r="F17" s="44"/>
      <c r="G17" s="44"/>
      <c r="H17" s="44"/>
      <c r="I17" s="45"/>
      <c r="J17" s="10"/>
      <c r="K17" s="10"/>
    </row>
    <row r="18" spans="1:12" ht="65.25" customHeight="1" x14ac:dyDescent="0.25">
      <c r="A18" s="46" t="s">
        <v>39</v>
      </c>
      <c r="B18" s="47"/>
      <c r="C18" s="47"/>
      <c r="D18" s="47"/>
      <c r="E18" s="47"/>
      <c r="F18" s="47"/>
      <c r="G18" s="47"/>
      <c r="H18" s="47"/>
      <c r="I18" s="48"/>
      <c r="J18" s="10"/>
      <c r="K18" s="10"/>
    </row>
    <row r="19" spans="1:12" x14ac:dyDescent="0.25">
      <c r="A19" s="49" t="s">
        <v>43</v>
      </c>
      <c r="B19" s="50"/>
      <c r="C19" s="50"/>
      <c r="D19" s="50"/>
      <c r="E19" s="50"/>
      <c r="F19" s="50"/>
      <c r="G19" s="50"/>
      <c r="H19" s="50"/>
      <c r="I19" s="51"/>
      <c r="J19" s="10"/>
      <c r="K19" s="10"/>
    </row>
    <row r="20" spans="1:12" x14ac:dyDescent="0.25">
      <c r="A20" s="42" t="s">
        <v>44</v>
      </c>
      <c r="B20" s="42"/>
      <c r="C20" s="42"/>
      <c r="D20" s="42"/>
      <c r="E20" s="42"/>
      <c r="F20" s="42"/>
      <c r="G20" s="42"/>
      <c r="H20" s="42"/>
      <c r="I20" s="42"/>
      <c r="J20" s="29"/>
      <c r="K20" s="24"/>
    </row>
    <row r="21" spans="1:12" ht="45" x14ac:dyDescent="0.25">
      <c r="A21" s="29">
        <v>1</v>
      </c>
      <c r="B21" s="16" t="s">
        <v>35</v>
      </c>
      <c r="C21" s="29" t="s">
        <v>42</v>
      </c>
      <c r="D21" s="17">
        <v>1</v>
      </c>
      <c r="E21" s="18"/>
      <c r="F21" s="19" t="s">
        <v>76</v>
      </c>
      <c r="G21" s="19" t="s">
        <v>79</v>
      </c>
      <c r="H21" s="20">
        <v>36</v>
      </c>
      <c r="I21" s="10"/>
      <c r="J21" s="29" t="str">
        <f t="shared" ref="J21:J30" si="0">IF(NOT(EXACT(LOWER(A21),UPPER(A21))),"",IF(A21&gt;0,"п"&amp;A21,""))</f>
        <v>п1</v>
      </c>
      <c r="K21" s="21" t="s">
        <v>32</v>
      </c>
    </row>
    <row r="22" spans="1:12" customFormat="1" ht="45" x14ac:dyDescent="0.25">
      <c r="A22" s="29">
        <v>2</v>
      </c>
      <c r="B22" s="16" t="s">
        <v>50</v>
      </c>
      <c r="C22" s="13" t="s">
        <v>21</v>
      </c>
      <c r="D22" s="25">
        <v>5.5</v>
      </c>
      <c r="E22" s="10"/>
      <c r="F22" s="19" t="s">
        <v>76</v>
      </c>
      <c r="G22" s="19" t="s">
        <v>79</v>
      </c>
      <c r="H22" s="20">
        <v>36</v>
      </c>
      <c r="I22" s="10"/>
      <c r="J22" s="29" t="str">
        <f t="shared" si="0"/>
        <v>п2</v>
      </c>
      <c r="K22" s="21" t="s">
        <v>32</v>
      </c>
      <c r="L22" s="2"/>
    </row>
    <row r="23" spans="1:12" customFormat="1" ht="45" x14ac:dyDescent="0.25">
      <c r="A23" s="29">
        <v>3</v>
      </c>
      <c r="B23" s="16" t="s">
        <v>51</v>
      </c>
      <c r="C23" s="13" t="s">
        <v>21</v>
      </c>
      <c r="D23" s="25">
        <v>5.5</v>
      </c>
      <c r="E23" s="10"/>
      <c r="F23" s="19" t="s">
        <v>76</v>
      </c>
      <c r="G23" s="19" t="s">
        <v>79</v>
      </c>
      <c r="H23" s="20">
        <v>36</v>
      </c>
      <c r="I23" s="10"/>
      <c r="J23" s="29" t="str">
        <f t="shared" si="0"/>
        <v>п3</v>
      </c>
      <c r="K23" s="21" t="s">
        <v>32</v>
      </c>
      <c r="L23" s="2"/>
    </row>
    <row r="24" spans="1:12" ht="45" x14ac:dyDescent="0.25">
      <c r="A24" s="29">
        <v>4</v>
      </c>
      <c r="B24" s="16" t="s">
        <v>36</v>
      </c>
      <c r="C24" s="23" t="s">
        <v>42</v>
      </c>
      <c r="D24" s="25">
        <v>1</v>
      </c>
      <c r="E24" s="18"/>
      <c r="F24" s="19" t="s">
        <v>76</v>
      </c>
      <c r="G24" s="19" t="s">
        <v>79</v>
      </c>
      <c r="H24" s="20">
        <v>38</v>
      </c>
      <c r="I24" s="10"/>
      <c r="J24" s="29" t="str">
        <f t="shared" si="0"/>
        <v>п4</v>
      </c>
      <c r="K24" s="21" t="s">
        <v>34</v>
      </c>
    </row>
    <row r="25" spans="1:12" ht="60" x14ac:dyDescent="0.25">
      <c r="A25" s="29">
        <v>5</v>
      </c>
      <c r="B25" s="16" t="s">
        <v>80</v>
      </c>
      <c r="C25" s="13" t="s">
        <v>21</v>
      </c>
      <c r="D25" s="25">
        <v>394</v>
      </c>
      <c r="E25" s="10"/>
      <c r="F25" s="19" t="s">
        <v>77</v>
      </c>
      <c r="G25" s="19" t="s">
        <v>79</v>
      </c>
      <c r="H25" s="20">
        <v>36</v>
      </c>
      <c r="I25" s="10"/>
      <c r="J25" s="29" t="str">
        <f t="shared" si="0"/>
        <v>п5</v>
      </c>
      <c r="K25" s="21" t="s">
        <v>32</v>
      </c>
    </row>
    <row r="26" spans="1:12" customFormat="1" ht="45" x14ac:dyDescent="0.25">
      <c r="A26" s="29">
        <v>6</v>
      </c>
      <c r="B26" s="16" t="s">
        <v>50</v>
      </c>
      <c r="C26" s="13" t="s">
        <v>21</v>
      </c>
      <c r="D26" s="25">
        <v>394</v>
      </c>
      <c r="E26" s="10"/>
      <c r="F26" s="19" t="s">
        <v>77</v>
      </c>
      <c r="G26" s="19" t="s">
        <v>79</v>
      </c>
      <c r="H26" s="20">
        <v>36</v>
      </c>
      <c r="I26" s="10"/>
      <c r="J26" s="29" t="str">
        <f t="shared" si="0"/>
        <v>п6</v>
      </c>
      <c r="K26" s="21" t="s">
        <v>32</v>
      </c>
      <c r="L26" s="2"/>
    </row>
    <row r="27" spans="1:12" customFormat="1" ht="45" x14ac:dyDescent="0.25">
      <c r="A27" s="29">
        <v>7</v>
      </c>
      <c r="B27" s="16" t="s">
        <v>51</v>
      </c>
      <c r="C27" s="13" t="s">
        <v>21</v>
      </c>
      <c r="D27" s="25">
        <v>394</v>
      </c>
      <c r="E27" s="10"/>
      <c r="F27" s="19" t="s">
        <v>77</v>
      </c>
      <c r="G27" s="19" t="s">
        <v>79</v>
      </c>
      <c r="H27" s="20">
        <v>36</v>
      </c>
      <c r="I27" s="10"/>
      <c r="J27" s="29" t="str">
        <f t="shared" si="0"/>
        <v>п7</v>
      </c>
      <c r="K27" s="21" t="s">
        <v>32</v>
      </c>
      <c r="L27" s="2"/>
    </row>
    <row r="28" spans="1:12" s="28" customFormat="1" ht="45" x14ac:dyDescent="0.25">
      <c r="A28" s="29">
        <v>8</v>
      </c>
      <c r="B28" s="30" t="s">
        <v>81</v>
      </c>
      <c r="C28" s="31" t="s">
        <v>41</v>
      </c>
      <c r="D28" s="32">
        <v>1</v>
      </c>
      <c r="E28" s="33"/>
      <c r="F28" s="34" t="s">
        <v>77</v>
      </c>
      <c r="G28" s="34" t="s">
        <v>79</v>
      </c>
      <c r="H28" s="35">
        <v>36</v>
      </c>
      <c r="I28" s="33"/>
      <c r="J28" s="26" t="str">
        <f t="shared" si="0"/>
        <v>п8</v>
      </c>
      <c r="K28" s="27" t="s">
        <v>34</v>
      </c>
    </row>
    <row r="29" spans="1:12" customFormat="1" ht="45" x14ac:dyDescent="0.25">
      <c r="A29" s="29">
        <v>9</v>
      </c>
      <c r="B29" s="16" t="s">
        <v>45</v>
      </c>
      <c r="C29" s="29" t="s">
        <v>42</v>
      </c>
      <c r="D29" s="17">
        <v>1</v>
      </c>
      <c r="E29" s="18"/>
      <c r="F29" s="34" t="s">
        <v>78</v>
      </c>
      <c r="G29" s="34" t="s">
        <v>79</v>
      </c>
      <c r="H29" s="20">
        <v>33</v>
      </c>
      <c r="I29" s="10"/>
      <c r="J29" s="29" t="str">
        <f t="shared" si="0"/>
        <v>п9</v>
      </c>
      <c r="K29" s="21" t="s">
        <v>32</v>
      </c>
      <c r="L29" s="2"/>
    </row>
    <row r="30" spans="1:12" customFormat="1" ht="45" x14ac:dyDescent="0.25">
      <c r="A30" s="29">
        <v>10</v>
      </c>
      <c r="B30" s="16" t="s">
        <v>46</v>
      </c>
      <c r="C30" s="23" t="s">
        <v>42</v>
      </c>
      <c r="D30" s="25">
        <v>1</v>
      </c>
      <c r="E30" s="18"/>
      <c r="F30" s="34" t="s">
        <v>78</v>
      </c>
      <c r="G30" s="34" t="s">
        <v>79</v>
      </c>
      <c r="H30" s="20">
        <v>33</v>
      </c>
      <c r="I30" s="10"/>
      <c r="J30" s="29" t="str">
        <f t="shared" si="0"/>
        <v>п10</v>
      </c>
      <c r="K30" s="21" t="s">
        <v>34</v>
      </c>
      <c r="L30" s="2"/>
    </row>
    <row r="31" spans="1:12" customFormat="1" ht="45" x14ac:dyDescent="0.25">
      <c r="A31" s="29">
        <v>11</v>
      </c>
      <c r="B31" s="16" t="s">
        <v>47</v>
      </c>
      <c r="C31" s="13" t="s">
        <v>41</v>
      </c>
      <c r="D31" s="17">
        <v>4</v>
      </c>
      <c r="E31" s="10"/>
      <c r="F31" s="34" t="s">
        <v>78</v>
      </c>
      <c r="G31" s="34" t="s">
        <v>79</v>
      </c>
      <c r="H31" s="20">
        <v>33</v>
      </c>
      <c r="I31" s="10"/>
      <c r="J31" s="29"/>
      <c r="K31" s="21" t="s">
        <v>34</v>
      </c>
      <c r="L31" s="2"/>
    </row>
    <row r="32" spans="1:12" customFormat="1" ht="45" x14ac:dyDescent="0.25">
      <c r="A32" s="29">
        <v>12</v>
      </c>
      <c r="B32" s="29" t="s">
        <v>48</v>
      </c>
      <c r="C32" s="13" t="s">
        <v>41</v>
      </c>
      <c r="D32" s="17">
        <v>4</v>
      </c>
      <c r="E32" s="10"/>
      <c r="F32" s="34" t="s">
        <v>78</v>
      </c>
      <c r="G32" s="34" t="s">
        <v>79</v>
      </c>
      <c r="H32" s="20">
        <v>33</v>
      </c>
      <c r="I32" s="10"/>
      <c r="J32" s="29"/>
      <c r="K32" s="24" t="s">
        <v>32</v>
      </c>
      <c r="L32" s="36" t="s">
        <v>49</v>
      </c>
    </row>
    <row r="33" spans="1:12" ht="45" x14ac:dyDescent="0.25">
      <c r="A33" s="29">
        <v>13</v>
      </c>
      <c r="B33" s="16" t="s">
        <v>40</v>
      </c>
      <c r="C33" s="13" t="s">
        <v>21</v>
      </c>
      <c r="D33" s="25">
        <v>421.2</v>
      </c>
      <c r="E33" s="10"/>
      <c r="F33" s="19" t="s">
        <v>77</v>
      </c>
      <c r="G33" s="19" t="s">
        <v>79</v>
      </c>
      <c r="H33" s="20">
        <v>34</v>
      </c>
      <c r="I33" s="10"/>
      <c r="J33" s="29" t="str">
        <f>IF(NOT(EXACT(LOWER(A33),UPPER(A33))),"",IF(A33&gt;0,"п"&amp;A33,""))</f>
        <v>п13</v>
      </c>
      <c r="K33" s="21" t="s">
        <v>32</v>
      </c>
    </row>
    <row r="34" spans="1:12" customFormat="1" ht="45" x14ac:dyDescent="0.25">
      <c r="A34" s="29">
        <v>14</v>
      </c>
      <c r="B34" s="16" t="s">
        <v>50</v>
      </c>
      <c r="C34" s="13" t="s">
        <v>21</v>
      </c>
      <c r="D34" s="25">
        <v>421.2</v>
      </c>
      <c r="E34" s="10"/>
      <c r="F34" s="19" t="s">
        <v>77</v>
      </c>
      <c r="G34" s="19" t="s">
        <v>79</v>
      </c>
      <c r="H34" s="20">
        <v>34</v>
      </c>
      <c r="I34" s="10"/>
      <c r="J34" s="29" t="str">
        <f>IF(NOT(EXACT(LOWER(A34),UPPER(A34))),"",IF(A34&gt;0,"п"&amp;A34,""))</f>
        <v>п14</v>
      </c>
      <c r="K34" s="21" t="s">
        <v>32</v>
      </c>
      <c r="L34" s="2"/>
    </row>
    <row r="35" spans="1:12" customFormat="1" ht="45" x14ac:dyDescent="0.25">
      <c r="A35" s="29">
        <v>15</v>
      </c>
      <c r="B35" s="16" t="s">
        <v>51</v>
      </c>
      <c r="C35" s="13" t="s">
        <v>21</v>
      </c>
      <c r="D35" s="25">
        <v>421.1</v>
      </c>
      <c r="E35" s="10"/>
      <c r="F35" s="19" t="s">
        <v>77</v>
      </c>
      <c r="G35" s="19" t="s">
        <v>79</v>
      </c>
      <c r="H35" s="20">
        <v>34</v>
      </c>
      <c r="I35" s="10"/>
      <c r="J35" s="29" t="str">
        <f>IF(NOT(EXACT(LOWER(A35),UPPER(A35))),"",IF(A35&gt;0,"п"&amp;A35,""))</f>
        <v>п15</v>
      </c>
      <c r="K35" s="21" t="s">
        <v>32</v>
      </c>
      <c r="L35" s="2"/>
    </row>
    <row r="36" spans="1:12" s="28" customFormat="1" ht="45" x14ac:dyDescent="0.25">
      <c r="A36" s="29">
        <v>17</v>
      </c>
      <c r="B36" s="37" t="s">
        <v>53</v>
      </c>
      <c r="C36" s="38" t="s">
        <v>55</v>
      </c>
      <c r="D36" s="32">
        <v>6</v>
      </c>
      <c r="E36" s="33"/>
      <c r="F36" s="34" t="s">
        <v>82</v>
      </c>
      <c r="G36" s="34" t="s">
        <v>79</v>
      </c>
      <c r="H36" s="35">
        <v>10</v>
      </c>
      <c r="I36" s="33"/>
      <c r="J36" s="26" t="str">
        <f t="shared" ref="J36:J46" si="1">IF(NOT(EXACT(LOWER(A36),UPPER(A36))),"",IF(A36&gt;0,"п"&amp;A36,""))</f>
        <v>п17</v>
      </c>
      <c r="K36" s="21" t="s">
        <v>32</v>
      </c>
    </row>
    <row r="37" spans="1:12" s="28" customFormat="1" ht="45" x14ac:dyDescent="0.25">
      <c r="A37" s="29">
        <v>18</v>
      </c>
      <c r="B37" s="37" t="s">
        <v>54</v>
      </c>
      <c r="C37" s="38" t="s">
        <v>42</v>
      </c>
      <c r="D37" s="32">
        <v>6</v>
      </c>
      <c r="E37" s="33"/>
      <c r="F37" s="34" t="s">
        <v>82</v>
      </c>
      <c r="G37" s="34" t="s">
        <v>79</v>
      </c>
      <c r="H37" s="35">
        <v>10</v>
      </c>
      <c r="I37" s="33"/>
      <c r="J37" s="26" t="str">
        <f t="shared" si="1"/>
        <v>п18</v>
      </c>
      <c r="K37" s="27" t="s">
        <v>34</v>
      </c>
    </row>
    <row r="38" spans="1:12" s="28" customFormat="1" ht="45" x14ac:dyDescent="0.25">
      <c r="A38" s="29">
        <v>19</v>
      </c>
      <c r="B38" s="37" t="s">
        <v>54</v>
      </c>
      <c r="C38" s="31" t="s">
        <v>56</v>
      </c>
      <c r="D38" s="32">
        <v>34</v>
      </c>
      <c r="E38" s="33"/>
      <c r="F38" s="34" t="s">
        <v>82</v>
      </c>
      <c r="G38" s="34" t="s">
        <v>79</v>
      </c>
      <c r="H38" s="35">
        <v>10</v>
      </c>
      <c r="I38" s="33"/>
      <c r="J38" s="26" t="str">
        <f t="shared" si="1"/>
        <v>п19</v>
      </c>
      <c r="K38" s="27" t="s">
        <v>34</v>
      </c>
    </row>
    <row r="39" spans="1:12" s="28" customFormat="1" ht="45" x14ac:dyDescent="0.25">
      <c r="A39" s="29">
        <v>20</v>
      </c>
      <c r="B39" s="37" t="s">
        <v>57</v>
      </c>
      <c r="C39" s="38" t="s">
        <v>42</v>
      </c>
      <c r="D39" s="39" t="s">
        <v>66</v>
      </c>
      <c r="E39" s="33"/>
      <c r="F39" s="34" t="s">
        <v>82</v>
      </c>
      <c r="G39" s="34" t="s">
        <v>79</v>
      </c>
      <c r="H39" s="35">
        <v>10</v>
      </c>
      <c r="I39" s="33"/>
      <c r="J39" s="26" t="str">
        <f t="shared" si="1"/>
        <v>п20</v>
      </c>
      <c r="K39" s="27" t="s">
        <v>34</v>
      </c>
    </row>
    <row r="40" spans="1:12" s="28" customFormat="1" ht="45" x14ac:dyDescent="0.25">
      <c r="A40" s="29">
        <v>21</v>
      </c>
      <c r="B40" s="37" t="s">
        <v>58</v>
      </c>
      <c r="C40" s="38" t="s">
        <v>42</v>
      </c>
      <c r="D40" s="39" t="s">
        <v>67</v>
      </c>
      <c r="E40" s="33"/>
      <c r="F40" s="34" t="s">
        <v>82</v>
      </c>
      <c r="G40" s="34" t="s">
        <v>79</v>
      </c>
      <c r="H40" s="35">
        <v>10</v>
      </c>
      <c r="I40" s="33"/>
      <c r="J40" s="26" t="str">
        <f t="shared" si="1"/>
        <v>п21</v>
      </c>
      <c r="K40" s="27" t="s">
        <v>34</v>
      </c>
    </row>
    <row r="41" spans="1:12" s="28" customFormat="1" ht="30" x14ac:dyDescent="0.25">
      <c r="A41" s="29">
        <v>22</v>
      </c>
      <c r="B41" s="37" t="s">
        <v>58</v>
      </c>
      <c r="C41" s="38" t="s">
        <v>68</v>
      </c>
      <c r="D41" s="40">
        <f>0.27*6</f>
        <v>1.62</v>
      </c>
      <c r="E41" s="41" t="s">
        <v>69</v>
      </c>
      <c r="F41" s="34" t="s">
        <v>82</v>
      </c>
      <c r="G41" s="34"/>
      <c r="H41" s="35">
        <v>10</v>
      </c>
      <c r="I41" s="33"/>
      <c r="J41" s="26" t="str">
        <f t="shared" si="1"/>
        <v>п22</v>
      </c>
      <c r="K41" s="27" t="s">
        <v>34</v>
      </c>
    </row>
    <row r="42" spans="1:12" s="28" customFormat="1" ht="45" x14ac:dyDescent="0.25">
      <c r="A42" s="29">
        <v>23</v>
      </c>
      <c r="B42" s="37" t="s">
        <v>59</v>
      </c>
      <c r="C42" s="38" t="s">
        <v>73</v>
      </c>
      <c r="D42" s="39" t="s">
        <v>70</v>
      </c>
      <c r="E42" s="33"/>
      <c r="F42" s="34" t="s">
        <v>82</v>
      </c>
      <c r="G42" s="34" t="s">
        <v>79</v>
      </c>
      <c r="H42" s="35">
        <v>10</v>
      </c>
      <c r="I42" s="33"/>
      <c r="J42" s="26" t="str">
        <f t="shared" si="1"/>
        <v>п23</v>
      </c>
      <c r="K42" s="21" t="s">
        <v>32</v>
      </c>
    </row>
    <row r="43" spans="1:12" s="28" customFormat="1" ht="45" x14ac:dyDescent="0.25">
      <c r="A43" s="29">
        <v>24</v>
      </c>
      <c r="B43" s="37" t="s">
        <v>60</v>
      </c>
      <c r="C43" s="38" t="s">
        <v>61</v>
      </c>
      <c r="D43" s="39" t="s">
        <v>71</v>
      </c>
      <c r="E43" s="33"/>
      <c r="F43" s="34" t="s">
        <v>82</v>
      </c>
      <c r="G43" s="34" t="s">
        <v>79</v>
      </c>
      <c r="H43" s="35">
        <v>10</v>
      </c>
      <c r="I43" s="33"/>
      <c r="J43" s="26" t="str">
        <f t="shared" si="1"/>
        <v>п24</v>
      </c>
      <c r="K43" s="21" t="s">
        <v>32</v>
      </c>
    </row>
    <row r="44" spans="1:12" s="28" customFormat="1" ht="45" x14ac:dyDescent="0.25">
      <c r="A44" s="29">
        <v>25</v>
      </c>
      <c r="B44" s="37" t="s">
        <v>62</v>
      </c>
      <c r="C44" s="38" t="s">
        <v>61</v>
      </c>
      <c r="D44" s="39" t="s">
        <v>71</v>
      </c>
      <c r="E44" s="33"/>
      <c r="F44" s="34" t="s">
        <v>82</v>
      </c>
      <c r="G44" s="34" t="s">
        <v>79</v>
      </c>
      <c r="H44" s="35">
        <v>10</v>
      </c>
      <c r="I44" s="33"/>
      <c r="J44" s="26" t="str">
        <f t="shared" si="1"/>
        <v>п25</v>
      </c>
      <c r="K44" s="27" t="s">
        <v>34</v>
      </c>
    </row>
    <row r="45" spans="1:12" s="28" customFormat="1" ht="45" x14ac:dyDescent="0.25">
      <c r="A45" s="29">
        <v>26</v>
      </c>
      <c r="B45" s="37" t="s">
        <v>63</v>
      </c>
      <c r="C45" s="38" t="s">
        <v>61</v>
      </c>
      <c r="D45" s="39">
        <v>10</v>
      </c>
      <c r="E45" s="33"/>
      <c r="F45" s="34" t="s">
        <v>83</v>
      </c>
      <c r="G45" s="34" t="s">
        <v>79</v>
      </c>
      <c r="H45" s="35">
        <v>11</v>
      </c>
      <c r="I45" s="33"/>
      <c r="J45" s="26" t="str">
        <f t="shared" si="1"/>
        <v>п26</v>
      </c>
      <c r="K45" s="27" t="s">
        <v>34</v>
      </c>
    </row>
    <row r="46" spans="1:12" s="28" customFormat="1" ht="45" x14ac:dyDescent="0.25">
      <c r="A46" s="29">
        <v>27</v>
      </c>
      <c r="B46" s="37" t="s">
        <v>64</v>
      </c>
      <c r="C46" s="38" t="s">
        <v>65</v>
      </c>
      <c r="D46" s="39" t="s">
        <v>72</v>
      </c>
      <c r="E46" s="33"/>
      <c r="F46" s="34" t="s">
        <v>83</v>
      </c>
      <c r="G46" s="34" t="s">
        <v>79</v>
      </c>
      <c r="H46" s="35">
        <v>11</v>
      </c>
      <c r="I46" s="33"/>
      <c r="J46" s="26" t="str">
        <f t="shared" si="1"/>
        <v>п27</v>
      </c>
      <c r="K46" s="27" t="s">
        <v>34</v>
      </c>
    </row>
    <row r="47" spans="1:12" x14ac:dyDescent="0.25">
      <c r="A47" s="42" t="s">
        <v>52</v>
      </c>
      <c r="B47" s="42"/>
      <c r="C47" s="42"/>
      <c r="D47" s="42"/>
      <c r="E47" s="42"/>
      <c r="F47" s="42"/>
      <c r="G47" s="42"/>
      <c r="H47" s="42"/>
      <c r="I47" s="42"/>
      <c r="J47" s="29"/>
      <c r="K47" s="24"/>
    </row>
    <row r="48" spans="1:12" s="22" customFormat="1" ht="45" x14ac:dyDescent="0.25">
      <c r="A48" s="29">
        <v>28</v>
      </c>
      <c r="B48" s="16" t="s">
        <v>38</v>
      </c>
      <c r="C48" s="29" t="s">
        <v>42</v>
      </c>
      <c r="D48" s="17">
        <v>1</v>
      </c>
      <c r="E48" s="18"/>
      <c r="F48" s="34" t="s">
        <v>75</v>
      </c>
      <c r="G48" s="19" t="s">
        <v>79</v>
      </c>
      <c r="H48" s="20">
        <v>35</v>
      </c>
      <c r="I48" s="16"/>
      <c r="J48" s="10" t="str">
        <f t="shared" ref="J48:J55" si="2">IF(NOT(EXACT(LOWER(A48),UPPER(A48))),"",IF(A48&gt;0,"п"&amp;A48,""))</f>
        <v>п28</v>
      </c>
      <c r="K48" s="21" t="s">
        <v>32</v>
      </c>
    </row>
    <row r="49" spans="1:12" customFormat="1" ht="45" x14ac:dyDescent="0.25">
      <c r="A49" s="29">
        <v>29</v>
      </c>
      <c r="B49" s="16" t="s">
        <v>50</v>
      </c>
      <c r="C49" s="13" t="s">
        <v>21</v>
      </c>
      <c r="D49" s="25">
        <v>50</v>
      </c>
      <c r="E49" s="10" t="s">
        <v>85</v>
      </c>
      <c r="F49" s="34" t="s">
        <v>75</v>
      </c>
      <c r="G49" s="19" t="s">
        <v>79</v>
      </c>
      <c r="H49" s="20">
        <v>35</v>
      </c>
      <c r="I49" s="10"/>
      <c r="J49" s="10" t="str">
        <f t="shared" si="2"/>
        <v>п29</v>
      </c>
      <c r="K49" s="21" t="s">
        <v>32</v>
      </c>
      <c r="L49" s="2"/>
    </row>
    <row r="50" spans="1:12" customFormat="1" ht="45" x14ac:dyDescent="0.25">
      <c r="A50" s="29">
        <v>30</v>
      </c>
      <c r="B50" s="16" t="s">
        <v>51</v>
      </c>
      <c r="C50" s="13" t="s">
        <v>21</v>
      </c>
      <c r="D50" s="25">
        <v>50</v>
      </c>
      <c r="E50" s="10" t="s">
        <v>85</v>
      </c>
      <c r="F50" s="34" t="s">
        <v>75</v>
      </c>
      <c r="G50" s="19" t="s">
        <v>79</v>
      </c>
      <c r="H50" s="20">
        <v>35</v>
      </c>
      <c r="I50" s="10"/>
      <c r="J50" s="10" t="str">
        <f t="shared" si="2"/>
        <v>п30</v>
      </c>
      <c r="K50" s="21" t="s">
        <v>32</v>
      </c>
      <c r="L50" s="2"/>
    </row>
    <row r="51" spans="1:12" s="22" customFormat="1" ht="45" x14ac:dyDescent="0.25">
      <c r="A51" s="29">
        <v>31</v>
      </c>
      <c r="B51" s="16" t="s">
        <v>33</v>
      </c>
      <c r="C51" s="23" t="s">
        <v>42</v>
      </c>
      <c r="D51" s="17">
        <v>1</v>
      </c>
      <c r="E51" s="18"/>
      <c r="F51" s="34" t="s">
        <v>75</v>
      </c>
      <c r="G51" s="19" t="s">
        <v>79</v>
      </c>
      <c r="H51" s="20">
        <v>35</v>
      </c>
      <c r="I51" s="24"/>
      <c r="J51" s="10" t="str">
        <f t="shared" si="2"/>
        <v>п31</v>
      </c>
      <c r="K51" s="21" t="s">
        <v>34</v>
      </c>
    </row>
    <row r="52" spans="1:12" s="22" customFormat="1" ht="45" x14ac:dyDescent="0.25">
      <c r="A52" s="29">
        <v>32</v>
      </c>
      <c r="B52" s="16" t="s">
        <v>35</v>
      </c>
      <c r="C52" s="29" t="s">
        <v>42</v>
      </c>
      <c r="D52" s="17">
        <v>1</v>
      </c>
      <c r="E52" s="18"/>
      <c r="F52" s="34" t="s">
        <v>76</v>
      </c>
      <c r="G52" s="19" t="s">
        <v>79</v>
      </c>
      <c r="H52" s="20">
        <v>36</v>
      </c>
      <c r="I52" s="24"/>
      <c r="J52" s="10" t="str">
        <f t="shared" si="2"/>
        <v>п32</v>
      </c>
      <c r="K52" s="21" t="s">
        <v>32</v>
      </c>
    </row>
    <row r="53" spans="1:12" customFormat="1" ht="45" x14ac:dyDescent="0.25">
      <c r="A53" s="29">
        <v>33</v>
      </c>
      <c r="B53" s="16" t="s">
        <v>50</v>
      </c>
      <c r="C53" s="13" t="s">
        <v>21</v>
      </c>
      <c r="D53" s="25">
        <v>5</v>
      </c>
      <c r="E53" s="10"/>
      <c r="F53" s="34" t="s">
        <v>76</v>
      </c>
      <c r="G53" s="19" t="s">
        <v>79</v>
      </c>
      <c r="H53" s="20">
        <v>36</v>
      </c>
      <c r="I53" s="10"/>
      <c r="J53" s="10" t="str">
        <f t="shared" si="2"/>
        <v>п33</v>
      </c>
      <c r="K53" s="21" t="s">
        <v>32</v>
      </c>
      <c r="L53" s="2"/>
    </row>
    <row r="54" spans="1:12" customFormat="1" ht="45" x14ac:dyDescent="0.25">
      <c r="A54" s="29">
        <v>34</v>
      </c>
      <c r="B54" s="16" t="s">
        <v>51</v>
      </c>
      <c r="C54" s="13" t="s">
        <v>21</v>
      </c>
      <c r="D54" s="25">
        <v>5</v>
      </c>
      <c r="E54" s="10"/>
      <c r="F54" s="34" t="s">
        <v>76</v>
      </c>
      <c r="G54" s="19" t="s">
        <v>79</v>
      </c>
      <c r="H54" s="20">
        <v>36</v>
      </c>
      <c r="I54" s="10"/>
      <c r="J54" s="10" t="str">
        <f t="shared" si="2"/>
        <v>п34</v>
      </c>
      <c r="K54" s="21" t="s">
        <v>32</v>
      </c>
      <c r="L54" s="2"/>
    </row>
    <row r="55" spans="1:12" s="22" customFormat="1" ht="45" x14ac:dyDescent="0.25">
      <c r="A55" s="29">
        <v>35</v>
      </c>
      <c r="B55" s="16" t="s">
        <v>36</v>
      </c>
      <c r="C55" s="23" t="s">
        <v>42</v>
      </c>
      <c r="D55" s="25">
        <v>1</v>
      </c>
      <c r="E55" s="18"/>
      <c r="F55" s="34" t="s">
        <v>76</v>
      </c>
      <c r="G55" s="19" t="s">
        <v>79</v>
      </c>
      <c r="H55" s="20">
        <v>36</v>
      </c>
      <c r="I55" s="24"/>
      <c r="J55" s="10" t="str">
        <f t="shared" si="2"/>
        <v>п35</v>
      </c>
      <c r="K55" s="21" t="s">
        <v>34</v>
      </c>
    </row>
  </sheetData>
  <mergeCells count="5">
    <mergeCell ref="A20:I20"/>
    <mergeCell ref="A47:I47"/>
    <mergeCell ref="A17:I17"/>
    <mergeCell ref="A18:I18"/>
    <mergeCell ref="A19:I19"/>
  </mergeCells>
  <phoneticPr fontId="4" type="noConversion"/>
  <printOptions horizontalCentered="1"/>
  <pageMargins left="0" right="0" top="0.78740157480314965" bottom="0" header="0.31496062992125984" footer="0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Вариант для импорта</vt:lpstr>
      <vt:lpstr>'Вариант для импорта'!Область_печати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2026-07-28T10:06:42Z</dcterms:modified>
</cp:coreProperties>
</file>